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eb\Documents\GitHub\CBC_csv_analyser\"/>
    </mc:Choice>
  </mc:AlternateContent>
  <xr:revisionPtr revIDLastSave="0" documentId="13_ncr:1_{84BE7E42-D5E0-4231-93CF-5FBBFDDDBF03}" xr6:coauthVersionLast="47" xr6:coauthVersionMax="47" xr10:uidLastSave="{00000000-0000-0000-0000-000000000000}"/>
  <bookViews>
    <workbookView xWindow="-120" yWindow="-120" windowWidth="29040" windowHeight="15840" tabRatio="793" activeTab="1" xr2:uid="{00000000-000D-0000-FFFF-FFFF00000000}"/>
  </bookViews>
  <sheets>
    <sheet name="ETAPES" sheetId="3" r:id="rId1"/>
    <sheet name="pipeline colonnes" sheetId="4" r:id="rId2"/>
    <sheet name="listes de réferences" sheetId="2" r:id="rId3"/>
    <sheet name="categories_depenses" sheetId="15" r:id="rId4"/>
    <sheet name="Catégories Comptable" sheetId="8" r:id="rId5"/>
    <sheet name="Dossiers - acronymes combinés" sheetId="11" r:id="rId6"/>
    <sheet name="Fond de roulement" sheetId="13" r:id="rId7"/>
    <sheet name="Calcul des coûts" sheetId="14" r:id="rId8"/>
    <sheet name="FUTURES CATEGORIES"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2" l="1"/>
  <c r="K36" i="2"/>
  <c r="K35" i="2"/>
  <c r="J35" i="2"/>
  <c r="C35" i="2"/>
  <c r="C23" i="2"/>
  <c r="C24" i="2"/>
  <c r="C25" i="2"/>
  <c r="C26" i="2"/>
  <c r="C27" i="2"/>
  <c r="C28" i="2"/>
  <c r="C29" i="2"/>
  <c r="C30" i="2"/>
  <c r="C31" i="2"/>
  <c r="C32" i="2"/>
  <c r="C33" i="2"/>
  <c r="C34" i="2"/>
  <c r="C18"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6"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6" i="2"/>
  <c r="C7" i="2"/>
  <c r="C8" i="2"/>
  <c r="C9" i="2"/>
  <c r="C10" i="2"/>
  <c r="C11" i="2"/>
  <c r="C12" i="2"/>
  <c r="C13" i="2"/>
  <c r="C14" i="2"/>
  <c r="C15" i="2"/>
  <c r="C16" i="2"/>
  <c r="C17" i="2"/>
  <c r="C6" i="2"/>
  <c r="C43" i="2"/>
  <c r="C44" i="2"/>
  <c r="C38" i="2"/>
  <c r="C39" i="2"/>
  <c r="C40" i="2"/>
  <c r="C41" i="2"/>
  <c r="C42" i="2"/>
  <c r="C37" i="2"/>
  <c r="C45" i="2"/>
  <c r="C46" i="2"/>
  <c r="D14" i="14"/>
  <c r="J14" i="14" s="1"/>
  <c r="D15" i="14"/>
  <c r="H15" i="14" s="1"/>
  <c r="D16" i="14"/>
  <c r="D17" i="14"/>
  <c r="D18" i="14"/>
  <c r="J18" i="14" s="1"/>
  <c r="D19" i="14"/>
  <c r="H19" i="14" s="1"/>
  <c r="F14" i="14"/>
  <c r="F15" i="14"/>
  <c r="F16" i="14"/>
  <c r="F17" i="14"/>
  <c r="F18" i="14"/>
  <c r="F19" i="14"/>
  <c r="H14" i="14"/>
  <c r="H16" i="14"/>
  <c r="H17" i="14"/>
  <c r="H18" i="14"/>
  <c r="J16" i="14"/>
  <c r="J17" i="14"/>
  <c r="I16" i="14"/>
  <c r="I19" i="14"/>
  <c r="G19" i="14"/>
  <c r="E15" i="14"/>
  <c r="C9" i="14"/>
  <c r="I9" i="14" s="1"/>
  <c r="C8" i="14"/>
  <c r="G8" i="14" s="1"/>
  <c r="C10" i="14"/>
  <c r="I10" i="14" s="1"/>
  <c r="C11" i="14"/>
  <c r="E11" i="14" s="1"/>
  <c r="C12" i="14"/>
  <c r="G12" i="14" s="1"/>
  <c r="C13" i="14"/>
  <c r="I13" i="14" s="1"/>
  <c r="C14" i="14"/>
  <c r="I14" i="14" s="1"/>
  <c r="C15" i="14"/>
  <c r="G15" i="14" s="1"/>
  <c r="C16" i="14"/>
  <c r="G16" i="14" s="1"/>
  <c r="C17" i="14"/>
  <c r="I17" i="14" s="1"/>
  <c r="C18" i="14"/>
  <c r="I18" i="14" s="1"/>
  <c r="C19" i="14"/>
  <c r="E19" i="14" s="1"/>
  <c r="C7" i="14"/>
  <c r="G7" i="14" s="1"/>
  <c r="M8" i="13"/>
  <c r="R38" i="13"/>
  <c r="M25" i="13"/>
  <c r="D10" i="14" l="1"/>
  <c r="D9" i="14"/>
  <c r="D8" i="14"/>
  <c r="D7" i="14"/>
  <c r="D13" i="14"/>
  <c r="D12" i="14"/>
  <c r="D11" i="14"/>
  <c r="H11" i="14" s="1"/>
  <c r="I11" i="14"/>
  <c r="G11" i="14"/>
  <c r="J19" i="14"/>
  <c r="J15" i="14"/>
  <c r="F10" i="14"/>
  <c r="E18" i="14"/>
  <c r="E10" i="14"/>
  <c r="E14" i="14"/>
  <c r="G18" i="14"/>
  <c r="G10" i="14"/>
  <c r="I15" i="14"/>
  <c r="G14" i="14"/>
  <c r="I7" i="14"/>
  <c r="I12" i="14"/>
  <c r="I8" i="14"/>
  <c r="E7" i="14"/>
  <c r="E17" i="14"/>
  <c r="E13" i="14"/>
  <c r="E9" i="14"/>
  <c r="G17" i="14"/>
  <c r="G13" i="14"/>
  <c r="G9" i="14"/>
  <c r="E16" i="14"/>
  <c r="E12" i="14"/>
  <c r="E8" i="14"/>
  <c r="M13" i="13"/>
  <c r="R39" i="13"/>
  <c r="R40" i="13"/>
  <c r="J10" i="14" l="1"/>
  <c r="H10" i="14"/>
  <c r="F9" i="14"/>
  <c r="J9" i="14"/>
  <c r="H9" i="14"/>
  <c r="F8" i="14"/>
  <c r="J8" i="14"/>
  <c r="H8" i="14"/>
  <c r="F7" i="14"/>
  <c r="H7" i="14"/>
  <c r="J7" i="14"/>
  <c r="F11" i="14"/>
  <c r="J11" i="14"/>
  <c r="F13" i="14"/>
  <c r="H13" i="14"/>
  <c r="J13" i="14"/>
  <c r="F12" i="14"/>
  <c r="H12" i="14"/>
  <c r="J12" i="14"/>
  <c r="H6" i="13"/>
  <c r="H7" i="13"/>
  <c r="H8" i="13"/>
  <c r="H9" i="13"/>
  <c r="H10" i="13"/>
  <c r="H5" i="13"/>
  <c r="G6" i="13"/>
  <c r="G7" i="13"/>
  <c r="G8" i="13"/>
  <c r="G9" i="13"/>
  <c r="G10" i="13"/>
  <c r="G5" i="13"/>
  <c r="F6" i="13"/>
  <c r="F7" i="13"/>
  <c r="F8" i="13"/>
  <c r="F9" i="13"/>
  <c r="F10" i="13"/>
  <c r="F5" i="13"/>
  <c r="E11" i="13"/>
  <c r="E6" i="13"/>
  <c r="E7" i="13"/>
  <c r="E8" i="13"/>
  <c r="E9" i="13"/>
  <c r="E10" i="13"/>
  <c r="E5" i="13"/>
  <c r="D11" i="13"/>
  <c r="D12" i="13" s="1"/>
  <c r="B6" i="11"/>
  <c r="B7" i="11"/>
  <c r="B8" i="11"/>
  <c r="B9" i="11"/>
  <c r="B10" i="11"/>
  <c r="B11" i="11"/>
  <c r="B12" i="11"/>
  <c r="B13" i="11"/>
  <c r="B14" i="11"/>
  <c r="B15" i="11"/>
  <c r="B16" i="11"/>
  <c r="B17" i="11"/>
  <c r="B18" i="11"/>
  <c r="B19" i="11"/>
  <c r="B20" i="11"/>
  <c r="B21" i="11"/>
  <c r="B22" i="11"/>
  <c r="B23" i="11"/>
  <c r="B24" i="11"/>
  <c r="B25" i="11"/>
  <c r="B26" i="11"/>
  <c r="B27" i="11"/>
  <c r="B28" i="11"/>
  <c r="B5" i="11"/>
  <c r="E12" i="13" l="1"/>
  <c r="H11" i="13"/>
  <c r="H12" i="13" s="1"/>
  <c r="G11" i="13"/>
  <c r="G12" i="13" s="1"/>
  <c r="F11" i="13"/>
  <c r="F12" i="13" s="1"/>
  <c r="M15" i="13"/>
  <c r="M16" i="13"/>
  <c r="M14" i="13"/>
  <c r="M27" i="13"/>
  <c r="M29" i="13" s="1"/>
  <c r="M28" i="13"/>
  <c r="M30" i="13" l="1"/>
  <c r="P30" i="13" s="1"/>
  <c r="P28" i="13" l="1"/>
  <c r="P27" i="13"/>
  <c r="P29"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C821D0-A9FD-4BC4-BDCB-155B3E39E675}" odcFile="H:\Drive partagés\FDDasbl\1. FONCTIONNEMENT DE L'ASSOCIATION\1.04. Trésorerie\1.04.C. Comptes annuels, budget, planifications\1.04.C.02. Comptes annuels\AUTOMATISATION TRAITEMENT CSV\Requête - export test 10-24 FDD pour script.odc" keepAlive="1" name="Requête - export test 10-24 FDD pour script" description="Connexion à la requête « export test 10-24 FDD pour script » dans le classeur." type="5" refreshedVersion="8" saveData="1">
    <dbPr connection="Provider=Microsoft.Mashup.OleDb.1;Data Source=$Workbook$;Location=&quot;export test 10-24 FDD pour script&quot;;Extended Properties=&quot;&quot;" command="SELECT * FROM [export test 10-24 FDD pour script]"/>
  </connection>
  <connection id="2" xr16:uid="{FFD6DA1E-E0B6-4895-8A4B-8A7572BFA9E3}" keepAlive="1" name="Requête - export test 10-24 FDD pour script (2)" description="Connexion à la requête « export test 10-24 FDD pour script (2) » dans le classeur." type="5" refreshedVersion="8" background="1" saveData="1">
    <dbPr connection="Provider=Microsoft.Mashup.OleDb.1;Data Source=$Workbook$;Location=&quot;export test 10-24 FDD pour script (2)&quot;;Extended Properties=&quot;&quot;" command="SELECT * FROM [export test 10-24 FDD pour script (2)]"/>
  </connection>
</connections>
</file>

<file path=xl/sharedStrings.xml><?xml version="1.0" encoding="utf-8"?>
<sst xmlns="http://schemas.openxmlformats.org/spreadsheetml/2006/main" count="1455" uniqueCount="928">
  <si>
    <t>N°extrait</t>
  </si>
  <si>
    <t>Description</t>
  </si>
  <si>
    <t>Date</t>
  </si>
  <si>
    <t>Montant</t>
  </si>
  <si>
    <t>Nom contrepartie</t>
  </si>
  <si>
    <t>Adresse contrepartie</t>
  </si>
  <si>
    <t>Communication libre</t>
  </si>
  <si>
    <t>UCM SECRETARIAT SOCIAL</t>
  </si>
  <si>
    <t>STRIPE</t>
  </si>
  <si>
    <t>WOOPAYMENTS</t>
  </si>
  <si>
    <t>ABELIMMO</t>
  </si>
  <si>
    <t>ALLEIN VANESSA</t>
  </si>
  <si>
    <t>DESTREBECQ SARAH</t>
  </si>
  <si>
    <t>SOUTIEN</t>
  </si>
  <si>
    <t>LEEMANS LAURENT</t>
  </si>
  <si>
    <t>DON MENSUEL</t>
  </si>
  <si>
    <t>Recettes</t>
  </si>
  <si>
    <t>Liste Projets</t>
  </si>
  <si>
    <t>Organismes</t>
  </si>
  <si>
    <t>R-4.Actions- Ateliers VS</t>
  </si>
  <si>
    <t>Le Secret</t>
  </si>
  <si>
    <t>BPS</t>
  </si>
  <si>
    <t>Lutte contre VGO</t>
  </si>
  <si>
    <t>COCOF</t>
  </si>
  <si>
    <t>R-Cotisation</t>
  </si>
  <si>
    <t>Prévenir &amp; Protéger</t>
  </si>
  <si>
    <t>GAMS</t>
  </si>
  <si>
    <t>R-Don</t>
  </si>
  <si>
    <t>Podcast</t>
  </si>
  <si>
    <t>RW</t>
  </si>
  <si>
    <t>R-Le Secret</t>
  </si>
  <si>
    <t>U.F.</t>
  </si>
  <si>
    <t>R-Prestation</t>
  </si>
  <si>
    <t>R-4.Actions- Subside</t>
  </si>
  <si>
    <t>R - Cotisation</t>
  </si>
  <si>
    <t>R - Don</t>
  </si>
  <si>
    <t>R - Don Chloé Guyot</t>
  </si>
  <si>
    <t>R - Don Sorina</t>
  </si>
  <si>
    <t>R-4.Actions- Projet - Visibillustratrice</t>
  </si>
  <si>
    <t>R-4.Actions- Subsides - BPS</t>
  </si>
  <si>
    <t>R - Subsides - COCOF</t>
  </si>
  <si>
    <t>R - Subsides - COCOF - Secret</t>
  </si>
  <si>
    <t>R - Subsides - IEFH</t>
  </si>
  <si>
    <t>R - Subsides - RW</t>
  </si>
  <si>
    <t>R - Subsides - RW - num_visa</t>
  </si>
  <si>
    <t>Sub ExtractInfo_DEF()</t>
  </si>
  <si>
    <t xml:space="preserve">    Dim ws As Worksheet</t>
  </si>
  <si>
    <t xml:space="preserve">    Dim firstRow As Long, lastRow As Long, i As Long</t>
  </si>
  <si>
    <t xml:space="preserve">    Dim descStr As String, extractedInfo As String</t>
  </si>
  <si>
    <t xml:space="preserve">    Dim pos As Integer, firstSpacePos As Integer, secondSpacePos As Integer</t>
  </si>
  <si>
    <t xml:space="preserve">    Dim operationType As String, cardNum As String</t>
  </si>
  <si>
    <t xml:space="preserve">    Dim firstCol As Integer  ' &lt;-- ajouté ici</t>
  </si>
  <si>
    <t xml:space="preserve">    </t>
  </si>
  <si>
    <t xml:space="preserve">    ' Set the worksheet</t>
  </si>
  <si>
    <t xml:space="preserve">    Set ws = ActiveSheet</t>
  </si>
  <si>
    <t xml:space="preserve">    ' Get the first and last row and first column based on the selection</t>
  </si>
  <si>
    <t xml:space="preserve">    firstRow = Selection.Row</t>
  </si>
  <si>
    <t xml:space="preserve">    lastRow = firstRow + Selection.Rows.Count - 1</t>
  </si>
  <si>
    <t xml:space="preserve">    firstCol = Selection.Column  ' &lt;-- ajouté ici</t>
  </si>
  <si>
    <t xml:space="preserve">    ' Loop through each row in the selection</t>
  </si>
  <si>
    <t xml:space="preserve">    For i = firstRow To lastRow</t>
  </si>
  <si>
    <t xml:space="preserve">        descStr = ws.Cells(i, firstCol).Value  ' &lt;-- modifié ici</t>
  </si>
  <si>
    <r>
      <t xml:space="preserve">        operationType = </t>
    </r>
    <r>
      <rPr>
        <b/>
        <sz val="11"/>
        <color theme="5"/>
        <rFont val="Calibri"/>
        <family val="2"/>
        <scheme val="minor"/>
      </rPr>
      <t>FindOperationType(ws.Cells(i, firstCol))</t>
    </r>
    <r>
      <rPr>
        <sz val="11"/>
        <color theme="1"/>
        <rFont val="Calibri"/>
        <family val="2"/>
        <scheme val="minor"/>
      </rPr>
      <t xml:space="preserve">  ' &lt;-- modifié ici</t>
    </r>
  </si>
  <si>
    <t xml:space="preserve">        </t>
  </si>
  <si>
    <t xml:space="preserve">        ' Reset cardNum and extractedInfo for each row</t>
  </si>
  <si>
    <t xml:space="preserve">        cardNum = ""</t>
  </si>
  <si>
    <t xml:space="preserve">        extractedInfo = ""</t>
  </si>
  <si>
    <t xml:space="preserve">        ' Based on the operation type, extract the required info</t>
  </si>
  <si>
    <t xml:space="preserve">        Select Case operationType</t>
  </si>
  <si>
    <t xml:space="preserve">            ' *****    DOMICILIATION EUROPEENNE   ******</t>
  </si>
  <si>
    <t xml:space="preserve">            Case "DOMICILIATION EUROPEENNE"</t>
  </si>
  <si>
    <r>
      <t xml:space="preserve">                extractedInfo = </t>
    </r>
    <r>
      <rPr>
        <b/>
        <sz val="11"/>
        <color theme="5"/>
        <rFont val="Calibri"/>
        <family val="2"/>
        <scheme val="minor"/>
      </rPr>
      <t>ExtractInfoAfterDescr(descStr)</t>
    </r>
  </si>
  <si>
    <t xml:space="preserve">            ' *****    FORFAIT   ******</t>
  </si>
  <si>
    <t xml:space="preserve">            Case "FORFAIT"</t>
  </si>
  <si>
    <t xml:space="preserve">                pos = 0</t>
  </si>
  <si>
    <t xml:space="preserve">                For j = 1 To Len(descStr) - 4</t>
  </si>
  <si>
    <t xml:space="preserve">                    If Mid(descStr, j, 5) Like "##-##" Then</t>
  </si>
  <si>
    <t xml:space="preserve">                        pos = j + 5</t>
  </si>
  <si>
    <t xml:space="preserve">                    End If</t>
  </si>
  <si>
    <t xml:space="preserve">                Next j</t>
  </si>
  <si>
    <t xml:space="preserve">                If pos &gt; 0 Then</t>
  </si>
  <si>
    <t xml:space="preserve">                    extractedInfo = Trim(Mid(descStr, pos))</t>
  </si>
  <si>
    <t xml:space="preserve">                End If</t>
  </si>
  <si>
    <r>
      <t xml:space="preserve">            Case "ORDRE PERMANENT", "VIREMENT INSTANTANE DE", "VIREMENT INSTANTANE VERS", "</t>
    </r>
    <r>
      <rPr>
        <sz val="11"/>
        <color rgb="FFFF0000"/>
        <rFont val="Calibri"/>
        <family val="2"/>
        <scheme val="minor"/>
      </rPr>
      <t>VIREMENT EUROPEEN DE</t>
    </r>
    <r>
      <rPr>
        <sz val="11"/>
        <color rgb="FF00B050"/>
        <rFont val="Calibri"/>
        <family val="2"/>
        <scheme val="minor"/>
      </rPr>
      <t>", "VIREMENT VERS", "VIREMENT DE"</t>
    </r>
  </si>
  <si>
    <t xml:space="preserve">                If InStr(1, descStr, "BANQUIER", vbTextCompare) &gt; 0 Then</t>
  </si>
  <si>
    <t xml:space="preserve">                    pos = InStr(1, descStr, ":") + 1</t>
  </si>
  <si>
    <t xml:space="preserve">                    firstSpacePos = InStr(pos, descStr, " ") + 1</t>
  </si>
  <si>
    <t xml:space="preserve">                    secondSpacePos = InStr(firstSpacePos, descStr, " ") + 1</t>
  </si>
  <si>
    <t xml:space="preserve">                    extractedInfo = Mid(descStr, secondSpacePos)</t>
  </si>
  <si>
    <t xml:space="preserve">                </t>
  </si>
  <si>
    <t xml:space="preserve">            Case "PAIEMENT PAR BANCONTACT", "PAIEMENT PAR MAESTRO", "PAIEMENT ACHAT PAR BANCONTACT", "PAIEMENT ACHATS PAR MAESTRO"</t>
  </si>
  <si>
    <t xml:space="preserve">                pos = InStr(1, descStr, "HEURES") + 7</t>
  </si>
  <si>
    <t xml:space="preserve">                extractedInfo = Mid(descStr, pos, InStr(pos, descStr, "AVEC") - pos)</t>
  </si>
  <si>
    <t xml:space="preserve">                If InStr(1, descStr, "701 1") &gt; 0 Then</t>
  </si>
  <si>
    <t xml:space="preserve">                    cardNum = "SEBASTIEN"</t>
  </si>
  <si>
    <t xml:space="preserve">                ElseIf InStr(1, descStr, "401 9") &gt; 0 Then</t>
  </si>
  <si>
    <t xml:space="preserve">                    cardNum = "MIRIAM"</t>
  </si>
  <si>
    <t xml:space="preserve">            Case "RETRAIT D'ESPECES"</t>
  </si>
  <si>
    <t xml:space="preserve">                If InStr(1, descStr, "HEURES", vbTextCompare) &gt; 0 Then</t>
  </si>
  <si>
    <t xml:space="preserve">                    pos = InStr(1, descStr, "HEURES") + 7</t>
  </si>
  <si>
    <t xml:space="preserve">                    extractedInfo = Mid(descStr, pos, InStr(pos, descStr, "AVEC") - pos)</t>
  </si>
  <si>
    <t xml:space="preserve">                Else</t>
  </si>
  <si>
    <t xml:space="preserve">                    For j = 1 To Len(descStr) - 4</t>
  </si>
  <si>
    <t xml:space="preserve">                        If Mid(descStr, j, 5) Like "##-##" Then</t>
  </si>
  <si>
    <t xml:space="preserve">                            pos = j + 5</t>
  </si>
  <si>
    <t xml:space="preserve">                            Exit For</t>
  </si>
  <si>
    <t xml:space="preserve">                        End If</t>
  </si>
  <si>
    <t xml:space="preserve">                    Next j</t>
  </si>
  <si>
    <t xml:space="preserve">            Case Else</t>
  </si>
  <si>
    <t xml:space="preserve">                extractedInfo = "/"</t>
  </si>
  <si>
    <t xml:space="preserve">        End Select</t>
  </si>
  <si>
    <t xml:space="preserve">        ' Fill the cells in adjacent columns</t>
  </si>
  <si>
    <t xml:space="preserve">        ws.Cells(i, firstCol + 1).Value = operationType</t>
  </si>
  <si>
    <t xml:space="preserve">        ws.Cells(i, firstCol + 2).Value = Trim(extractedInfo)</t>
  </si>
  <si>
    <t xml:space="preserve">        ws.Cells(i, firstCol + 3).Value = cardNum</t>
  </si>
  <si>
    <t xml:space="preserve">    Next i</t>
  </si>
  <si>
    <t>End Sub</t>
  </si>
  <si>
    <t>Function FindOperationType(description As Range) As String</t>
  </si>
  <si>
    <t xml:space="preserve">    Dim cell As Range</t>
  </si>
  <si>
    <t xml:space="preserve">    Dim descStr As String</t>
  </si>
  <si>
    <t xml:space="preserve">    Set operationTypes = ThisWorkbook.Names("operationTypes").RefersToRange</t>
  </si>
  <si>
    <t xml:space="preserve">    descStr = description.Value</t>
  </si>
  <si>
    <t xml:space="preserve">    For Each cell In operationTypes</t>
  </si>
  <si>
    <t xml:space="preserve">        If InStr(1, descStr, cell.Value, vbTextCompare) &gt; 0 Then</t>
  </si>
  <si>
    <t xml:space="preserve">            FindOperationType = cell.Value</t>
  </si>
  <si>
    <t xml:space="preserve">            Exit Function</t>
  </si>
  <si>
    <t xml:space="preserve">        End If</t>
  </si>
  <si>
    <t xml:space="preserve">    Next cell</t>
  </si>
  <si>
    <t xml:space="preserve">    FindOperationType = "Non trouvé"</t>
  </si>
  <si>
    <t>End Function</t>
  </si>
  <si>
    <t>Function ExtractInfoAfterDescr(descStr As String) As String</t>
  </si>
  <si>
    <t xml:space="preserve">    Dim startSearch As Integer</t>
  </si>
  <si>
    <t xml:space="preserve">    Dim endSearch As Integer</t>
  </si>
  <si>
    <t xml:space="preserve">    Dim extractedInfo As String</t>
  </si>
  <si>
    <t xml:space="preserve">    ' Trouver le début de la chaîne à extraire</t>
  </si>
  <si>
    <t xml:space="preserve">    startSearch = InStr(1, descStr, "PROPRE DESCR.")</t>
  </si>
  <si>
    <t xml:space="preserve">    If startSearch &gt; 0 Then</t>
  </si>
  <si>
    <t xml:space="preserve">        ' Ajouter la longueur de "PROPRE DESCR." plus 4 (3 espaces et 1 ":")</t>
  </si>
  <si>
    <t xml:space="preserve">        startSearch = startSearch + Len("PROPRE DESCR.") + 4</t>
  </si>
  <si>
    <t xml:space="preserve">        ' Trouver la fin de la chaîne à extraire</t>
  </si>
  <si>
    <t xml:space="preserve">        endSearch = InStr(startSearch + 1, descStr, ":")</t>
  </si>
  <si>
    <t xml:space="preserve">        ' Extraire la chaîne</t>
  </si>
  <si>
    <t xml:space="preserve">        If endSearch &gt; 0 Then</t>
  </si>
  <si>
    <t xml:space="preserve">            extractedInfo = Trim(Mid(descStr, startSearch, endSearch - startSearch))</t>
  </si>
  <si>
    <t xml:space="preserve">        Else</t>
  </si>
  <si>
    <t xml:space="preserve">            ' Si aucun deuxième ":" n'est trouvé, prendre tout jusqu'à la fin de la chaîne</t>
  </si>
  <si>
    <t xml:space="preserve">            extractedInfo = Trim(Mid(descStr, startSearch))</t>
  </si>
  <si>
    <t xml:space="preserve">    End If</t>
  </si>
  <si>
    <t xml:space="preserve">    ExtractInfoAfterDescr = extractedInfo  ' Retourner le résultat</t>
  </si>
  <si>
    <t>Colonnes finales</t>
  </si>
  <si>
    <t>CHAMPS DIRECTEMENT ISSUS DU CSV CERTAINS NECESSITE UN NETTOYAGE DE CHAMP</t>
  </si>
  <si>
    <t>Numéro de l'extrait</t>
  </si>
  <si>
    <t xml:space="preserve">
</t>
  </si>
  <si>
    <t>Type d'opération</t>
  </si>
  <si>
    <t>Calculé</t>
  </si>
  <si>
    <t>Extrait avec la fonction depuis la colonne "Description" (colonne numéro 6)</t>
  </si>
  <si>
    <t>Contrepartie</t>
  </si>
  <si>
    <t>Si "Nom Contrepartie" existe alors le prendre SINON Extrait avec la fonction  sur Description</t>
  </si>
  <si>
    <t>Objet de la facture</t>
  </si>
  <si>
    <t>Si "Communication libre" existe alors le prendre SINON Extrait avec la fonction sur Description</t>
  </si>
  <si>
    <t>Catégorie</t>
  </si>
  <si>
    <t>Projet</t>
  </si>
  <si>
    <t xml:space="preserve">Couvert par le subside : </t>
  </si>
  <si>
    <t>Pièce N°</t>
  </si>
  <si>
    <t>Lien document</t>
  </si>
  <si>
    <t>Créer le champ calculé =&gt; champ Date + le champ Contrepartie =&gt; un nom de fichier =  "aaaa_mm_jj_Contrepartie</t>
  </si>
  <si>
    <t>Remarque</t>
  </si>
  <si>
    <t>Le plus facile est de se référer à une liste prédéfinie.</t>
  </si>
  <si>
    <t>Donc pour la colonne Description, la logique pour extraire les informations pertinentes est d'abord de définir de quel type d'opération il s'agit car
 l'exctraction du reste des informations dépendra de chaque type d'opération.</t>
  </si>
  <si>
    <t>Liste "operationTypes"</t>
  </si>
  <si>
    <t>DOMICILIATION EUROPEENNE</t>
  </si>
  <si>
    <t>FORFAIT</t>
  </si>
  <si>
    <t>ORDRE PERMANENT</t>
  </si>
  <si>
    <t xml:space="preserve">PAIEMENT ACHAT PAR BANCONTACT </t>
  </si>
  <si>
    <t>PAIEMENT ACHATS PAR MAESTRO</t>
  </si>
  <si>
    <t>PAIEMENT PAR BANCONTACT</t>
  </si>
  <si>
    <t>PAIEMENT PAR MAESTRO</t>
  </si>
  <si>
    <t>PAYMENT MOBILE</t>
  </si>
  <si>
    <t>RETRAIT D'ESPECES</t>
  </si>
  <si>
    <t>VIREMENT DE</t>
  </si>
  <si>
    <t>VIREMENT INSTANTANE DE</t>
  </si>
  <si>
    <t>VIREMENT INSTANTANE VERS</t>
  </si>
  <si>
    <t>VIREMENT EUROPEEN DE</t>
  </si>
  <si>
    <t>VIREMENT VERS</t>
  </si>
  <si>
    <t>SI(ESTVIDE('[_1_Import csv_.xlsx]2023'!$O2);SI.MULTIPLE(GAUCHE('[_1_Import csv_.xlsx]2023'!$G2;3);"DOM";TEXTE.AVANT(TEXTE.APRES('[_1_Import csv_.xlsx]2023'!$G2;"   :";1);" REF.");"PAI";TEXTE.AVANT(TEXTE.APRES('[_1_Import csv_.xlsx]2023'!$G2;"HEURES ";1);" AVEC"));'[_1_Import csv_.xlsx]2023'!$O2)</t>
  </si>
  <si>
    <t>Formule pour communication</t>
  </si>
  <si>
    <t>MAJUSCULE(SI(ESTVIDE('[_1_Import csv_.xlsx]2023'!$R2);SI(ESTVIDE('[_1_Import csv_.xlsx]2023'!$Q2);"";"    -- Communication structurée --");'[_1_Import csv_.xlsx]2023'!$R2))</t>
  </si>
  <si>
    <t>Formule pour catégorie</t>
  </si>
  <si>
    <t>SI.CONDITIONS(ESTNUM(CHERCHE("DON";'Frais de fonct. 2023 '!F29;1));"Don";ESTNUM(CHERCHE("COTISATION";'Frais de fonct. 2023 '!F29;1));"Cotisation")</t>
  </si>
  <si>
    <t xml:space="preserve">Supprimer les colonnes </t>
  </si>
  <si>
    <t>Numéro de compte</t>
  </si>
  <si>
    <t>Nom de la rubrique</t>
  </si>
  <si>
    <t>Nom</t>
  </si>
  <si>
    <t>Devise</t>
  </si>
  <si>
    <t>Solde</t>
  </si>
  <si>
    <t>débit</t>
  </si>
  <si>
    <t>crédit</t>
  </si>
  <si>
    <t>BIC contrepartie</t>
  </si>
  <si>
    <t>numéro de compte contrepartie</t>
  </si>
  <si>
    <t>communication structurée</t>
  </si>
  <si>
    <t>Colonne origine csv</t>
  </si>
  <si>
    <t>Etape 1</t>
  </si>
  <si>
    <t>Etape 2</t>
  </si>
  <si>
    <t>Etape 0</t>
  </si>
  <si>
    <t>Numéro colonne</t>
  </si>
  <si>
    <t>Valeur</t>
  </si>
  <si>
    <t>Couvert par le subside</t>
  </si>
  <si>
    <t>CALCULée</t>
  </si>
  <si>
    <t>Colonne 2 - Description</t>
  </si>
  <si>
    <t>Insertion colonne Type d'opérations entre 2 et 3</t>
  </si>
  <si>
    <t>Colonne 5 devient colonne 1  - change de nom</t>
  </si>
  <si>
    <t>DATE</t>
  </si>
  <si>
    <t>CONTREPARTIE</t>
  </si>
  <si>
    <t>OBJET DE LA FACTURE</t>
  </si>
  <si>
    <t>Colonne 8 devient colonne 4 - change de nom</t>
  </si>
  <si>
    <t>Colonne 15 devient colonne 5 - change de nom</t>
  </si>
  <si>
    <t>Colonne 18 devient colonne 6 - change de nom</t>
  </si>
  <si>
    <t>ETAPE 1</t>
  </si>
  <si>
    <t>CATEGORIE</t>
  </si>
  <si>
    <t>TYPE OPERATION</t>
  </si>
  <si>
    <t>Création colonne Catégorie (colonne 7)</t>
  </si>
  <si>
    <t>Création colonne  Projet (colonne 7)</t>
  </si>
  <si>
    <t>Création colonne Couvert par le subside (colonne 8)</t>
  </si>
  <si>
    <t>Création colonne Pièce N° (colonne 9)</t>
  </si>
  <si>
    <t>Création colonne Lien document (colonne 7)</t>
  </si>
  <si>
    <t>Création colonne Remarque (colonne 7)</t>
  </si>
  <si>
    <t>ETAPE 2</t>
  </si>
  <si>
    <t>Suppression colonne 2 - Description</t>
  </si>
  <si>
    <t>Finalisation</t>
  </si>
  <si>
    <t>Opérations</t>
  </si>
  <si>
    <t>numéro colonne</t>
  </si>
  <si>
    <t>nom colonne</t>
  </si>
  <si>
    <t>ETAPE 3</t>
  </si>
  <si>
    <t>Formulaire pour contrepartie</t>
  </si>
  <si>
    <t xml:space="preserve">Si colonne </t>
  </si>
  <si>
    <t>Colonne 9 devient colonne 8 - change de nom</t>
  </si>
  <si>
    <t>export_test_10_24_FDD_pour_script__2</t>
  </si>
  <si>
    <t>SI(ESTVIDE('[Nom contrepartie);SI.MULTIPLE(GAUCHE('[Description;3);"DOM";TEXTE.AVANT(TEXTE.APRES('[Description;"   :";1);" REF.");"PAI";TEXTE.AVANT(TEXTE.APRES('[Description;"HEURES ";1);" AVEC"));'[Nom contrepartie)</t>
  </si>
  <si>
    <t>LIBRAIRIE TROPISMES</t>
  </si>
  <si>
    <t>D-Documentation</t>
  </si>
  <si>
    <t>TRAFIC CIN CINEY BE5590 CINEY</t>
  </si>
  <si>
    <t/>
  </si>
  <si>
    <t>D-Matériel de bureau</t>
  </si>
  <si>
    <t>PROXIMUS</t>
  </si>
  <si>
    <t>D-Téléphonie &amp; Internet</t>
  </si>
  <si>
    <t xml:space="preserve"> LUMINUS SA</t>
  </si>
  <si>
    <t>D-Charges</t>
  </si>
  <si>
    <t xml:space="preserve"> EDF LUMINUS NV</t>
  </si>
  <si>
    <t>STIB 121541321618 BE1000 BRUSSELS</t>
  </si>
  <si>
    <t>D-Mobilité</t>
  </si>
  <si>
    <t>SHOP &amp; GO MIDI BE1060 SAINT-GILLES</t>
  </si>
  <si>
    <t>D-Catering</t>
  </si>
  <si>
    <t>STIB 190914503594 BE1000 BRUSSELS</t>
  </si>
  <si>
    <t>LEONIDAS 1040 BXL METR BE1040 BRUXELLES</t>
  </si>
  <si>
    <t>SHOP BOTA BE1210 BRUXELLES</t>
  </si>
  <si>
    <t>STARBUCKS NAMUR BE5000 NAMUR</t>
  </si>
  <si>
    <t>SÉBASTIEN BAUDOUX</t>
  </si>
  <si>
    <t>D-Note de frais</t>
  </si>
  <si>
    <t>MIRIAM BEN JATTOU</t>
  </si>
  <si>
    <t>4465 COLRUYT NAMUR BE5100 JAMBES</t>
  </si>
  <si>
    <t>B-COOK BE1180 BRUXELLES</t>
  </si>
  <si>
    <t>D-Loyer</t>
  </si>
  <si>
    <t>BAUDOUX-BEN JATTOU S &amp; M</t>
  </si>
  <si>
    <t>D-IT</t>
  </si>
  <si>
    <t>TULITU</t>
  </si>
  <si>
    <t xml:space="preserve"> MICROSOFT PAYMENTS</t>
  </si>
  <si>
    <t>PROXIMUS BE1030 BRUSSEL</t>
  </si>
  <si>
    <t>DE WETTE TRISTAN BE5000 NAMUR</t>
  </si>
  <si>
    <t>NOV BANCONTACT BE5000 NAMUR</t>
  </si>
  <si>
    <t>JUSTINE DEBAILLEUL</t>
  </si>
  <si>
    <t>ANITA BIONDO</t>
  </si>
  <si>
    <t>YSALINE MATTHIS</t>
  </si>
  <si>
    <t>MAUDE DESMEDT</t>
  </si>
  <si>
    <t>YASSIN AHMYA</t>
  </si>
  <si>
    <t>NAD 02 WIERTZ BE5000 NAMUR</t>
  </si>
  <si>
    <t>7868 CO&amp;GO NAMUR BE5100 JAMBES</t>
  </si>
  <si>
    <t>STIB 180811566995 BE1000 BRUSSELS</t>
  </si>
  <si>
    <t>CRF EXP CONGRES BE1000 BRUXELLES</t>
  </si>
  <si>
    <t>SHOP AND GO SCHUMAN BE1000 BRUXELLES</t>
  </si>
  <si>
    <t>CATIA FREITAS DA SILVA</t>
  </si>
  <si>
    <t>LAYNA AJBAILOU</t>
  </si>
  <si>
    <t>MAISON ARC-EN-CIEL VERVIERS</t>
  </si>
  <si>
    <t>LEFEBVRE SARRUT BELGIUM SA</t>
  </si>
  <si>
    <t>STEPHANIE EVERAERT</t>
  </si>
  <si>
    <t>D-Le Secret</t>
  </si>
  <si>
    <t>NEO VISION</t>
  </si>
  <si>
    <t xml:space="preserve"> BLAST LE SOUFFLE DE LINFO BY STRIPE</t>
  </si>
  <si>
    <t>AMAZON BE RETAIL LU1855 LUXEMBOURG</t>
  </si>
  <si>
    <t>STIB 161153524491 BE1000 BRUSSELS</t>
  </si>
  <si>
    <t>PALAIS DES THES BE1000 BRUXELLES</t>
  </si>
  <si>
    <t>SHOP &amp; GO METRO MADOU BE1210 BRUXELLES</t>
  </si>
  <si>
    <t>SNCB NAMUR TVM BE5000 NAMUR</t>
  </si>
  <si>
    <t>STIB 181336596770 BE1000 BRUSSELS</t>
  </si>
  <si>
    <t>FOODCOURT BE1000 BRUSSEL</t>
  </si>
  <si>
    <t>SNCB NMBS BRU CEN TVM BE1000 BRUXELLES</t>
  </si>
  <si>
    <t>JULIETTE LEBATTEUR</t>
  </si>
  <si>
    <t>VIVIUM</t>
  </si>
  <si>
    <t>LE TEC (APP) BE5100 NAMUR</t>
  </si>
  <si>
    <t>STIB 010712221214 BE1000 BRUSSELS</t>
  </si>
  <si>
    <t>STIB 021522264929 BE1000 BRUSSELS</t>
  </si>
  <si>
    <t>BURGER KING NAMUR GARE BE5000 NAMUR</t>
  </si>
  <si>
    <t>CARREFOUR CONGRE BE BRUXELLES</t>
  </si>
  <si>
    <t xml:space="preserve"> WWW.BLAST-INFO.FR</t>
  </si>
  <si>
    <t>D-Salaires</t>
  </si>
  <si>
    <t>D-Frais RH</t>
  </si>
  <si>
    <t>ALLIANZ BENELUX SA</t>
  </si>
  <si>
    <t>AMAZON MRKTPLC LU2338 LUXEMBOURG</t>
  </si>
  <si>
    <t>REMARKABLE AS</t>
  </si>
  <si>
    <t>STIB 251113173432 BE1000 BRUSSELS</t>
  </si>
  <si>
    <t>OXFAM SHOP CINEY BE CINEY</t>
  </si>
  <si>
    <t>Perso</t>
  </si>
  <si>
    <t>PS NAMUR (B) HUBIZ 511 BE5000 NAMUR</t>
  </si>
  <si>
    <t>SUMUP  *TAXI EXPRESS N BE ST SERVAIS</t>
  </si>
  <si>
    <t xml:space="preserve"> MEDIAPART BY ADYEN</t>
  </si>
  <si>
    <t xml:space="preserve"> PROXIMUS</t>
  </si>
  <si>
    <t>STIB 301018486895 BE1000 BRUSSELS</t>
  </si>
  <si>
    <t>PANOS NAMUR 801148 BE5000 NAMUR</t>
  </si>
  <si>
    <t>STIB 061145719131 BE1000 BRUSSELS</t>
  </si>
  <si>
    <t>PAUL 508 BE1000 BRUSSEL</t>
  </si>
  <si>
    <t>PRINTCORP</t>
  </si>
  <si>
    <t>BRICO PLAN IT 4217 JAM BE5100 JAMBES NAMUR</t>
  </si>
  <si>
    <t>STIB 151618216473 BE1000 BRUSSELS</t>
  </si>
  <si>
    <t>PS BXL MIDI BAGAGES U1 BE1060 BRUXELLES 106</t>
  </si>
  <si>
    <t>STARBUCKS ZUID/MIDI BE1060 BRUSSEL</t>
  </si>
  <si>
    <t>CPAS CINEY</t>
  </si>
  <si>
    <t>LINDA MAMENGA</t>
  </si>
  <si>
    <t>NICOLAS SANNA</t>
  </si>
  <si>
    <t>D-Projet</t>
  </si>
  <si>
    <t>CM *KORO PACKVISION NL ROTTERDAM</t>
  </si>
  <si>
    <t>JEANNE SALLIOU</t>
  </si>
  <si>
    <t>ACTION 2553 BE5590 CINEY</t>
  </si>
  <si>
    <t>MONDIAL RELAY FR59510 HEM</t>
  </si>
  <si>
    <t>AMAZON EU SARL FR92110 CLICHY</t>
  </si>
  <si>
    <t>CESI</t>
  </si>
  <si>
    <t>CLUB 124 NAMUR BE5000 NAMUR</t>
  </si>
  <si>
    <t>CLUB 137 CINEY BE5590 CINEY</t>
  </si>
  <si>
    <t>CENTRE VETERINAIRE BIR BE5590 CINEY</t>
  </si>
  <si>
    <t>D-Animaux</t>
  </si>
  <si>
    <t>STIB 070946393521 BE1000 BRUSSELS</t>
  </si>
  <si>
    <t>PR BSL RAVENSTEIN 8011 BE1000 BRUSSEL</t>
  </si>
  <si>
    <t>REGIE COMMUNALE AUTONO BE1040 ETTERBEEK</t>
  </si>
  <si>
    <t>MAISON DE PRESSE FR GIVET</t>
  </si>
  <si>
    <t>TOM&amp;CO CINEY BE5590 CINEY</t>
  </si>
  <si>
    <t>BOULANGERIE DELHAYE BE ERPENT</t>
  </si>
  <si>
    <t>bpost parcel</t>
  </si>
  <si>
    <t>UNIVERSITE LIBRE DE BRUXELLES</t>
  </si>
  <si>
    <t>ONSS</t>
  </si>
  <si>
    <t>TOM&amp;CO VANDERKINDERE BE1180 BRUXELLES</t>
  </si>
  <si>
    <t>SOCIALWARE</t>
  </si>
  <si>
    <t>MASTERCARD BUSINESS BLUE CBC</t>
  </si>
  <si>
    <t>D-Frais bancaire</t>
  </si>
  <si>
    <t>SAFE.BRUSSELS</t>
  </si>
  <si>
    <t>D-Subside</t>
  </si>
  <si>
    <t>ABELIMMO SPRL</t>
  </si>
  <si>
    <t>ALLIANZ</t>
  </si>
  <si>
    <t>COMPTE D'ENTREPRISE CBC</t>
  </si>
  <si>
    <t>DEPENSES</t>
  </si>
  <si>
    <t>RECETTES</t>
  </si>
  <si>
    <t>HEINE - CHALIGNE</t>
  </si>
  <si>
    <t>DON</t>
  </si>
  <si>
    <t>COMMISS.COMMUNAUT.FRANCAIS</t>
  </si>
  <si>
    <t>1TR.AR.22/1721</t>
  </si>
  <si>
    <t>R-Subside</t>
  </si>
  <si>
    <t>BRUXELLES -</t>
  </si>
  <si>
    <t>SUB22/DC1/FEMMES SUB2022/DC1/FEM</t>
  </si>
  <si>
    <t>UNIVERSITE DES FEMMES ASBL</t>
  </si>
  <si>
    <t>NOTE D'INDEMNITIE - VOLONTARIAT - JDE - FEMINICIDES  - 17 JANVIER 2023</t>
  </si>
  <si>
    <t>PAUWELS ELLY</t>
  </si>
  <si>
    <t>COTISATION 2023</t>
  </si>
  <si>
    <t>AUFFRET ENORA</t>
  </si>
  <si>
    <t>DE AUFFRET ENORA - COTISATIONS FDD 2023</t>
  </si>
  <si>
    <t>MASAI FRANCE</t>
  </si>
  <si>
    <t>COTISATION 2023 FRANCE MASAI</t>
  </si>
  <si>
    <t>DESMEDT MAUDE</t>
  </si>
  <si>
    <t>COTISATION 2023 - DESMEDT MAUDE</t>
  </si>
  <si>
    <t>BIONDO ANITA</t>
  </si>
  <si>
    <t>VIE FEMININE</t>
  </si>
  <si>
    <t>2023,02,20 VF</t>
  </si>
  <si>
    <t>F 2022.12.12</t>
  </si>
  <si>
    <t>NF DPLCMT ATELIERS VF 3/5/22</t>
  </si>
  <si>
    <t>EUROHEAT . POWER AISBL</t>
  </si>
  <si>
    <t>MATTHIS YSALINE</t>
  </si>
  <si>
    <t>MAURICE ET GASTON SCOMM</t>
  </si>
  <si>
    <t>DON ACTION MUGS CERAMIQUE POUR JOURNEE INTERNATIONALE DES DROITS DES FEMMES</t>
  </si>
  <si>
    <t>MANGOPAY</t>
  </si>
  <si>
    <t>ULULE SAS</t>
  </si>
  <si>
    <t>BRISE LE SILENCE A S B L</t>
  </si>
  <si>
    <t>FACTURE 2023.05.31 ACHAT DE 2 LIVRES  LE SECRET</t>
  </si>
  <si>
    <t>FACTURE 2023 06 28</t>
  </si>
  <si>
    <t>M T LEPINOIS OU MME L ALIX</t>
  </si>
  <si>
    <t>COMMANDE 10396</t>
  </si>
  <si>
    <t>D.E.I. BELGIQUE A S B L</t>
  </si>
  <si>
    <t>COMMANDE N 10445  (2 AOUT 2023)</t>
  </si>
  <si>
    <t>MME AMELIE RENGLET</t>
  </si>
  <si>
    <t>COMMANDE 11066 LIVRES LE SECRET</t>
  </si>
  <si>
    <t>MAASKANT CLAIRE</t>
  </si>
  <si>
    <t>COMMANDE N 11070 (1X LE SECRET)</t>
  </si>
  <si>
    <t>MME MARIELLE CAMPO</t>
  </si>
  <si>
    <t>COMMANDE 11068</t>
  </si>
  <si>
    <t>DECOENE SARAH</t>
  </si>
  <si>
    <t>SUBV/DC1/2023 SUBV2023/APP/FEMME</t>
  </si>
  <si>
    <t>MALBECQ-HAYOIS</t>
  </si>
  <si>
    <t>LIVRAISON 2 LIVRES LE SECRET MERCI</t>
  </si>
  <si>
    <t>DE BROQUEVILLE M.</t>
  </si>
  <si>
    <t>11090</t>
  </si>
  <si>
    <t>MME CAROLINE COLLARD</t>
  </si>
  <si>
    <t>FRAIS DE LIVRAISON CAROLINE COLLARD</t>
  </si>
  <si>
    <t>FLCPF-FEDE</t>
  </si>
  <si>
    <t>F 2023.06.27</t>
  </si>
  <si>
    <t>MARLOYE CAROLINE</t>
  </si>
  <si>
    <t>COMMANDE 11092</t>
  </si>
  <si>
    <t>MLE MAUDE PUBERT</t>
  </si>
  <si>
    <t>COTISATION 2023   PUBERT MAUDE</t>
  </si>
  <si>
    <t>M ET MLLE COCHE DUPUIS</t>
  </si>
  <si>
    <t>JOACHIM LECLAIR</t>
  </si>
  <si>
    <t>DON LECLAIR JOACHIM</t>
  </si>
  <si>
    <t>RICKEN JOCHEN - COUTURIER CELINE</t>
  </si>
  <si>
    <t>WATESSE-VOETS</t>
  </si>
  <si>
    <t>DON : COCHE RENAUD ET BROUWER MARIE</t>
  </si>
  <si>
    <t>SUBV2022/DC2/FDD SUBV2022/APP/FE</t>
  </si>
  <si>
    <t>MARECHAL-COCHE</t>
  </si>
  <si>
    <t>SANDRA CLERMONT</t>
  </si>
  <si>
    <t>SANDRA CLERMONT - ENVOI LIVRE LE SECRET</t>
  </si>
  <si>
    <t>FACTURE 2023,10,16</t>
  </si>
  <si>
    <t>TME ASBL</t>
  </si>
  <si>
    <t>FACTURE 2023.09.30</t>
  </si>
  <si>
    <t>MCF - SG - DGBF</t>
  </si>
  <si>
    <t>DEC APA 23E TR</t>
  </si>
  <si>
    <t>WERTZ COLETTE</t>
  </si>
  <si>
    <t>COTISATION 2023 - COMPLEMENT - COLETTE WERTZ</t>
  </si>
  <si>
    <t>ALLARD CHARLOTTE</t>
  </si>
  <si>
    <t>FRAIS D ENVOIE LE SECRET CHARLOTTE ALLARD</t>
  </si>
  <si>
    <t>GAMS ASBL</t>
  </si>
  <si>
    <t>FACTURE N : 2023.11.14</t>
  </si>
  <si>
    <t>INSTITUT POUR L'EGALITE</t>
  </si>
  <si>
    <t>2023-COMITE PAN</t>
  </si>
  <si>
    <t>MLE ESTELLE FICHOU</t>
  </si>
  <si>
    <t>MERCI BEAUCOUP POUR L ENVOI</t>
  </si>
  <si>
    <t>MR BROUSSE OU MME LUDINGTON</t>
  </si>
  <si>
    <t>SECONDE LIVRAISON LUDINGTON</t>
  </si>
  <si>
    <t>2TR.AR.22/1721</t>
  </si>
  <si>
    <t>M. BENJAMIN DELAIVE</t>
  </si>
  <si>
    <t>DON CHLOE GUYOT</t>
  </si>
  <si>
    <t>F 2023.11.24</t>
  </si>
  <si>
    <t>H.E.F.F</t>
  </si>
  <si>
    <t>INTERVENTION COURS DE SENSIBILISATION VIOLENCES DE GENRE PA-23-65</t>
  </si>
  <si>
    <t>COTISATIONS BAUDOUX BEN JATTOU 2023</t>
  </si>
  <si>
    <t>AJBAILOU LAYNA</t>
  </si>
  <si>
    <t>COTISATION 2023 - AJBAILOU LAYNA</t>
  </si>
  <si>
    <t>WAROMA SRL</t>
  </si>
  <si>
    <t>CAMPOGRANDE JULIETTE</t>
  </si>
  <si>
    <t>COTISATION 2023 - JULIETTE CAMPOGRANDE</t>
  </si>
  <si>
    <t>Si objet = "Soutien" ou "Don" =&gt; R-Don</t>
  </si>
  <si>
    <t>Catégorie comptable</t>
  </si>
  <si>
    <t>Code comptable</t>
  </si>
  <si>
    <t>Dépenses</t>
  </si>
  <si>
    <t>Approvisionnements, marchandises, services et biens divers</t>
  </si>
  <si>
    <t>60/61</t>
  </si>
  <si>
    <t>Animaux</t>
  </si>
  <si>
    <t>CORRECTION</t>
  </si>
  <si>
    <t>Comptes de régularisation</t>
  </si>
  <si>
    <t>490/1</t>
  </si>
  <si>
    <t>CODE A VERIFIER</t>
  </si>
  <si>
    <t>Assurances</t>
  </si>
  <si>
    <t>Autres charges d'exploitation</t>
  </si>
  <si>
    <t>640/8</t>
  </si>
  <si>
    <t>Charges</t>
  </si>
  <si>
    <t>Documentation</t>
  </si>
  <si>
    <t>Frais bancaires</t>
  </si>
  <si>
    <t>Charges financières récurrentes</t>
  </si>
  <si>
    <t>Hébergement</t>
  </si>
  <si>
    <t>Loyer</t>
  </si>
  <si>
    <t>Matériel de bureau</t>
  </si>
  <si>
    <t>Rémunérations, charges sociales et pensions</t>
  </si>
  <si>
    <t>Mobilité</t>
  </si>
  <si>
    <t>Charges d'exploitation non récurrentes</t>
  </si>
  <si>
    <t>66A</t>
  </si>
  <si>
    <t xml:space="preserve"> - ! - NE dois pas exister en tant que tel mais être ventilé ! - </t>
  </si>
  <si>
    <t>/</t>
  </si>
  <si>
    <t>Cotisation</t>
  </si>
  <si>
    <t>Produits et charges d'exploitation/Dons, legs et subsides</t>
  </si>
  <si>
    <t>Don</t>
  </si>
  <si>
    <t>Don Chloé Guyot</t>
  </si>
  <si>
    <t>Don Sorina</t>
  </si>
  <si>
    <t>Chiffres d'affaires</t>
  </si>
  <si>
    <t>Ventes</t>
  </si>
  <si>
    <t>01_Bureaux\</t>
  </si>
  <si>
    <t>1_Loyer</t>
  </si>
  <si>
    <t>2_Assurance</t>
  </si>
  <si>
    <t>3_Charges</t>
  </si>
  <si>
    <t>4_Télécom</t>
  </si>
  <si>
    <t>2_UCM\</t>
  </si>
  <si>
    <t>02_ONSS</t>
  </si>
  <si>
    <t>03_Precompte</t>
  </si>
  <si>
    <t>04_Frais de gestion</t>
  </si>
  <si>
    <t>3_Notes de frais\</t>
  </si>
  <si>
    <t>1_Docs word</t>
  </si>
  <si>
    <t>2_Pieces justificatives</t>
  </si>
  <si>
    <t>1_IT\</t>
  </si>
  <si>
    <t>1_Web\</t>
  </si>
  <si>
    <t>Services</t>
  </si>
  <si>
    <t>2_Softwares</t>
  </si>
  <si>
    <t>3_Hardware</t>
  </si>
  <si>
    <t>2_Documentation\</t>
  </si>
  <si>
    <t>1_Livres</t>
  </si>
  <si>
    <t>2_Juridique</t>
  </si>
  <si>
    <t>3_Formations</t>
  </si>
  <si>
    <t>3_Presse</t>
  </si>
  <si>
    <t>4_Matériel</t>
  </si>
  <si>
    <t>5_Catering</t>
  </si>
  <si>
    <t>6_Animaux</t>
  </si>
  <si>
    <t>01_Bur</t>
  </si>
  <si>
    <t>02_RH</t>
  </si>
  <si>
    <t>03_FF</t>
  </si>
  <si>
    <t>05_Ecritures comptables</t>
  </si>
  <si>
    <t>03_Frais fonct.\</t>
  </si>
  <si>
    <t>3_Final_(Signe&amp;Pieces)</t>
  </si>
  <si>
    <t>Acronymes</t>
  </si>
  <si>
    <t>Arborescence dossiers</t>
  </si>
  <si>
    <t>01_Envel.Paie (Salaires)</t>
  </si>
  <si>
    <t>01.1(Bur.Loy)</t>
  </si>
  <si>
    <t>01.2(Bur.Ass)</t>
  </si>
  <si>
    <t>01.5(Bur.Alim)</t>
  </si>
  <si>
    <t>01.3(Bur.Charg)</t>
  </si>
  <si>
    <t>01.4(Bur.Tel)</t>
  </si>
  <si>
    <t>01.6(Bur.Ani)</t>
  </si>
  <si>
    <t>03.4(FF.Mater)</t>
  </si>
  <si>
    <t>03.3(FF.Forma)</t>
  </si>
  <si>
    <t>03.2.1(FF.Doc.Liv)</t>
  </si>
  <si>
    <t>03.2.2(FF.Doc.Jur)</t>
  </si>
  <si>
    <t>03.2.3(FF.Doc.Pres)</t>
  </si>
  <si>
    <t>03.1.3(FF.IT.Hard)</t>
  </si>
  <si>
    <t>02.1(RH.Ass)</t>
  </si>
  <si>
    <t>02.2.1(RH.UCM.Salaire)</t>
  </si>
  <si>
    <t>02.2.2(RH.UCM.ONSS)</t>
  </si>
  <si>
    <t>02.3.3(RH.NdF.FinPDF)</t>
  </si>
  <si>
    <t>02.3.2(RH.NdF.PiecJust)</t>
  </si>
  <si>
    <t>02.2.4(RH.UCM.FraiGest)</t>
  </si>
  <si>
    <t>02.2.5(RH.UCM.EcrComp)</t>
  </si>
  <si>
    <t>03.1.2(FF.IT.Soft)</t>
  </si>
  <si>
    <t>1_Bur.Loy</t>
  </si>
  <si>
    <t>2_Bur.Ass</t>
  </si>
  <si>
    <t>3_Bur.Charg</t>
  </si>
  <si>
    <t>4_Bur.Tel</t>
  </si>
  <si>
    <t>5_Bur.Alim</t>
  </si>
  <si>
    <t>6_Bur.Ani</t>
  </si>
  <si>
    <t>1_RH.Ass</t>
  </si>
  <si>
    <t>2_RH.UCM</t>
  </si>
  <si>
    <t>3_RH.NdF</t>
  </si>
  <si>
    <t>1_RH.NdF.DocW</t>
  </si>
  <si>
    <t>2_RH.NdF.PiecJust</t>
  </si>
  <si>
    <t>3_RH.NdF.FinPDF</t>
  </si>
  <si>
    <t>02.3.1(RH.NdF.DocW)</t>
  </si>
  <si>
    <t>1_RH.UCM.Salaire</t>
  </si>
  <si>
    <t>2_RH.UCM.ONSS</t>
  </si>
  <si>
    <t>4_RH.UCM.FraiGest</t>
  </si>
  <si>
    <t>5_RH.UCM.EcritComp</t>
  </si>
  <si>
    <t>1_FF.IT</t>
  </si>
  <si>
    <t>2_FF.Doc</t>
  </si>
  <si>
    <t>3_FF.Forma</t>
  </si>
  <si>
    <t>4_FF.Mater</t>
  </si>
  <si>
    <t>2_FF.IT.Soft</t>
  </si>
  <si>
    <t>3_FF.IT.Hard</t>
  </si>
  <si>
    <t>1_FF.Doc.Liv</t>
  </si>
  <si>
    <t>2_FF.Doc.Jur</t>
  </si>
  <si>
    <t>3_FF.Doc.Pres</t>
  </si>
  <si>
    <t>03.1.1.1(FF.IT.Web.Heberg.)</t>
  </si>
  <si>
    <t>03.1.1.2(FF.IT.Web.Serv.)</t>
  </si>
  <si>
    <t>FOOD</t>
  </si>
  <si>
    <t>Salaires</t>
  </si>
  <si>
    <t>Coûts ponctuels</t>
  </si>
  <si>
    <t>Biens &amp; Services</t>
  </si>
  <si>
    <t>Code
comptable</t>
  </si>
  <si>
    <t>Catégories
d'opération</t>
  </si>
  <si>
    <t>Dons, cotisations, subsides</t>
  </si>
  <si>
    <t>CODE</t>
  </si>
  <si>
    <t>Catégories</t>
  </si>
  <si>
    <t>Acronymes
combinés</t>
  </si>
  <si>
    <t>Code
Comptable</t>
  </si>
  <si>
    <t>D - Alimentaire</t>
  </si>
  <si>
    <t>D - Animaux</t>
  </si>
  <si>
    <t xml:space="preserve">D - CORRECTION </t>
  </si>
  <si>
    <t xml:space="preserve">D - Subsides - Remboursement - </t>
  </si>
  <si>
    <t>D - Fonct - Assurances</t>
  </si>
  <si>
    <t>D - Fonct - Charges</t>
  </si>
  <si>
    <t>D - Fonct - Documentation</t>
  </si>
  <si>
    <t>D - Fonct - Formations</t>
  </si>
  <si>
    <t>D - Fonct - Frais bancaires</t>
  </si>
  <si>
    <t>D - Fonct - Frais officiel</t>
  </si>
  <si>
    <t>D - Fonct - IT - Applications</t>
  </si>
  <si>
    <t>D - Fonct - IT - Hébergement</t>
  </si>
  <si>
    <t>D - Fonct - IT - Matériel</t>
  </si>
  <si>
    <t>D - Fonct - Loyer</t>
  </si>
  <si>
    <t>D - Fonct - Matériel de bureau</t>
  </si>
  <si>
    <t>D - Fonct - Salaire</t>
  </si>
  <si>
    <t>D - Fonct - Téléphonie/Internet</t>
  </si>
  <si>
    <t>D - Mobilité</t>
  </si>
  <si>
    <t>D - Note de frais</t>
  </si>
  <si>
    <t>D - Projet - Le Secret</t>
  </si>
  <si>
    <t>D - Projet - Podcast</t>
  </si>
  <si>
    <t>D - Projet - Visibillustr</t>
  </si>
  <si>
    <t>D - Retrait cash</t>
  </si>
  <si>
    <t>R - CORRECTION</t>
  </si>
  <si>
    <t>R - Edze</t>
  </si>
  <si>
    <t>R - Projet - Visibillustratrice</t>
  </si>
  <si>
    <t>R - Subsides - BPS</t>
  </si>
  <si>
    <t>R - Ventes - Formations</t>
  </si>
  <si>
    <t>R - Ventes - Goodies</t>
  </si>
  <si>
    <t>R - Ventes - Le Secret</t>
  </si>
  <si>
    <t>Code
Catégories</t>
  </si>
  <si>
    <t>1_FF.IT.Web.Héberg.</t>
  </si>
  <si>
    <t>2_FF.IT.Web.Serv.</t>
  </si>
  <si>
    <t>1_FF.IT.Web</t>
  </si>
  <si>
    <t>Noms Complets</t>
  </si>
  <si>
    <t>NOMS DES DOSSIERS</t>
  </si>
  <si>
    <t>02_RH\</t>
  </si>
  <si>
    <t>1_Assurance</t>
  </si>
  <si>
    <t xml:space="preserve"> Acronymes combinés</t>
  </si>
  <si>
    <t>CODES</t>
  </si>
  <si>
    <t>3_RH.UCM.Preco</t>
  </si>
  <si>
    <t>02.2.3(RH.UCM.Preco)</t>
  </si>
  <si>
    <t>Salaires bruts</t>
  </si>
  <si>
    <t>Cotisations ONSS (part employeur)</t>
  </si>
  <si>
    <t>Assurance pour les employés</t>
  </si>
  <si>
    <t>Frais du secrétariat social</t>
  </si>
  <si>
    <t>Consommables (ex. stylos, papier)</t>
  </si>
  <si>
    <t>Assurances (non employé)</t>
  </si>
  <si>
    <t>Charges financières</t>
  </si>
  <si>
    <t>Frais de documentation</t>
  </si>
  <si>
    <t>Frais de formation</t>
  </si>
  <si>
    <t>Frais de téléphonie/Internet</t>
  </si>
  <si>
    <t>Hébergement IT (serveurs, cloud)</t>
  </si>
  <si>
    <t>Matériel IT (ordinateurs, etc.)</t>
  </si>
  <si>
    <t>Mobilité (frais de déplacement)</t>
  </si>
  <si>
    <t>Frais de publication des statuts (coûts légaux)</t>
  </si>
  <si>
    <t>Projets ponctuels - Dépenses couvertes par subsides</t>
  </si>
  <si>
    <t>Projets ponctuels - Recettes couvertes par subsides</t>
  </si>
  <si>
    <t>Recettes provenant de prestations réalisées</t>
  </si>
  <si>
    <t>Dons reçus</t>
  </si>
  <si>
    <t>Cotisations reçues</t>
  </si>
  <si>
    <t>Subventions</t>
  </si>
  <si>
    <t>Ventes (formations, goodies, etc.)</t>
  </si>
  <si>
    <t>Correction comptable</t>
  </si>
  <si>
    <r>
      <t>1. Frais de publication des statuts ou autres coûts légaux</t>
    </r>
    <r>
      <rPr>
        <sz val="11"/>
        <color theme="1"/>
        <rFont val="Calibri"/>
        <family val="2"/>
        <scheme val="minor"/>
      </rPr>
      <t xml:space="preserve"> :</t>
    </r>
  </si>
  <si>
    <r>
      <t>Code comptable : 64</t>
    </r>
    <r>
      <rPr>
        <sz val="11"/>
        <color theme="1"/>
        <rFont val="Calibri"/>
        <family val="2"/>
        <scheme val="minor"/>
      </rPr>
      <t xml:space="preserve"> (Autres charges d'exploitation).</t>
    </r>
  </si>
  <si>
    <t>Ces coûts sont des charges administratives obligatoires mais récurrentes dans la vie d'une ASBL.</t>
  </si>
  <si>
    <r>
      <t>2. Dépenses et recettes liées à des projets ponctuels (couvertes par des subsides)</t>
    </r>
    <r>
      <rPr>
        <sz val="11"/>
        <color theme="1"/>
        <rFont val="Calibri"/>
        <family val="2"/>
        <scheme val="minor"/>
      </rPr>
      <t xml:space="preserve"> :</t>
    </r>
  </si>
  <si>
    <r>
      <t>3. Recettes provenant de prestations réalisées par les employés</t>
    </r>
    <r>
      <rPr>
        <sz val="11"/>
        <color theme="1"/>
        <rFont val="Calibri"/>
        <family val="2"/>
        <scheme val="minor"/>
      </rPr>
      <t xml:space="preserve"> :</t>
    </r>
  </si>
  <si>
    <r>
      <t>Code comptable : 70</t>
    </r>
    <r>
      <rPr>
        <sz val="11"/>
        <color theme="1"/>
        <rFont val="Calibri"/>
        <family val="2"/>
        <scheme val="minor"/>
      </rPr>
      <t xml:space="preserve"> (Chiffres d'affaires).</t>
    </r>
  </si>
  <si>
    <t>Les prestations sont assimilées à des ventes de services.</t>
  </si>
  <si>
    <t>Type de coût ou revenu</t>
  </si>
  <si>
    <t>Explications des lignes :</t>
  </si>
  <si>
    <t>Rémunérations</t>
  </si>
  <si>
    <t>Charges sociales</t>
  </si>
  <si>
    <t>Pensions complémentaires et assurances</t>
  </si>
  <si>
    <t>Frais de gestion des ressources humaines</t>
  </si>
  <si>
    <t>Fournitures de bureau</t>
  </si>
  <si>
    <t>Documentation générale</t>
  </si>
  <si>
    <t>Documentation juridique</t>
  </si>
  <si>
    <t>Frais de formation des employés</t>
  </si>
  <si>
    <t>Classes du Plan Comptable Minimum Normalisé (PCMN)</t>
  </si>
  <si>
    <t>Structure des Classes du PCMN :</t>
  </si>
  <si>
    <t>1. Classe 1 : Fonds propres, provisions pour risques et charges, et dettes à plus d'un an</t>
  </si>
  <si>
    <t>Inclut le capital, les réserves, les provisions pour risques et charges, ainsi que les dettes à long terme.</t>
  </si>
  <si>
    <t>2. Classe 2 : Frais d’établissement, actifs immobilisés et créances à plus d’un an</t>
  </si>
  <si>
    <t>Regroupe les immobilisations incorporelles, corporelles et financières, ainsi que les créances à long terme.</t>
  </si>
  <si>
    <t>3. Classe 3 : Stocks et commandes en cours d’exécution</t>
  </si>
  <si>
    <t>Concerne les matières premières, les produits finis, les marchandises, et les commandes en cours.</t>
  </si>
  <si>
    <t>4. Classe 4 : Créances et dettes à un an au plus</t>
  </si>
  <si>
    <t>5. Classe 5 : Placements de trésorerie et valeurs disponibles</t>
  </si>
  <si>
    <t>Inclut les comptes bancaires, la caisse, les placements à court terme, et les valeurs mobilières de placement.</t>
  </si>
  <si>
    <t>6. Classe 6 : Charges</t>
  </si>
  <si>
    <t>7. Classe 7 : Produits</t>
  </si>
  <si>
    <t>Concerne les recettes de l’association, comme les ventes, les subsides, les cotisations, les dons, etc.</t>
  </si>
  <si>
    <t>Comprend les créances commerciales, les autres créances à court terme, les dettes fournisseurs, 
et autres dettes à court terme.</t>
  </si>
  <si>
    <t>Regroupe toutes les dépenses de l’association, telles que les achats, les services et biens divers, 
les rémunérations, les amortissements, etc.</t>
  </si>
  <si>
    <t>Fond de roulement</t>
  </si>
  <si>
    <t>6 MOIS</t>
  </si>
  <si>
    <t>TOTAL</t>
  </si>
  <si>
    <t>3 MOIS</t>
  </si>
  <si>
    <t>1 MOIS</t>
  </si>
  <si>
    <t>9 MOIS</t>
  </si>
  <si>
    <t>12 MOIS</t>
  </si>
  <si>
    <t>Sous-Total</t>
  </si>
  <si>
    <r>
      <t>Marge pour imprévus (15%)</t>
    </r>
    <r>
      <rPr>
        <sz val="11"/>
        <color theme="1"/>
        <rFont val="Calibri"/>
        <family val="2"/>
        <scheme val="minor"/>
      </rPr>
      <t xml:space="preserve"> </t>
    </r>
  </si>
  <si>
    <t>Salaires (charges sociales incluses)</t>
  </si>
  <si>
    <t>Loyer et charges locatives</t>
  </si>
  <si>
    <t>Frais ICT (hébergement, téléphonie, matériel)</t>
  </si>
  <si>
    <t>Autres frais récurrents (assurances, documentation)</t>
  </si>
  <si>
    <t>Essentiel</t>
  </si>
  <si>
    <t>Luminus</t>
  </si>
  <si>
    <t>Frais RH</t>
  </si>
  <si>
    <t>Salaire et frais RH, 1 personne</t>
  </si>
  <si>
    <t>Proximus</t>
  </si>
  <si>
    <t>OVH</t>
  </si>
  <si>
    <t>O2Switch</t>
  </si>
  <si>
    <t>ICT</t>
  </si>
  <si>
    <t>Proximus + OVH</t>
  </si>
  <si>
    <t>Larcier + (Mediapart + Blast)</t>
  </si>
  <si>
    <t>Frais bancaire</t>
  </si>
  <si>
    <t>par an</t>
  </si>
  <si>
    <t>par semestre</t>
  </si>
  <si>
    <t>par trimestre</t>
  </si>
  <si>
    <t>par mois</t>
  </si>
  <si>
    <t>Non Essentiel</t>
  </si>
  <si>
    <t>Catering</t>
  </si>
  <si>
    <t>Notes de frais</t>
  </si>
  <si>
    <t>Liste des charges
fixes mensuelles</t>
  </si>
  <si>
    <t>=&gt;</t>
  </si>
  <si>
    <t xml:space="preserve">Marge de </t>
  </si>
  <si>
    <t>Bureau</t>
  </si>
  <si>
    <t>Télécom</t>
  </si>
  <si>
    <t>R.H.</t>
  </si>
  <si>
    <t>Assurance</t>
  </si>
  <si>
    <t>Salaires++</t>
  </si>
  <si>
    <t>Frais gestion</t>
  </si>
  <si>
    <t>Association</t>
  </si>
  <si>
    <t>Année</t>
  </si>
  <si>
    <t>Priorité</t>
  </si>
  <si>
    <t>Détails</t>
  </si>
  <si>
    <t>CBC</t>
  </si>
  <si>
    <t>OVH+O2Switch</t>
  </si>
  <si>
    <t>UCM</t>
  </si>
  <si>
    <t>Strada</t>
  </si>
  <si>
    <t>Abelimmo</t>
  </si>
  <si>
    <t>Alimentation</t>
  </si>
  <si>
    <t>Allianz</t>
  </si>
  <si>
    <t>Employées</t>
  </si>
  <si>
    <t>Coûts totaux
par mois</t>
  </si>
  <si>
    <t>E</t>
  </si>
  <si>
    <t>E + NE</t>
  </si>
  <si>
    <t>?</t>
  </si>
  <si>
    <t>01.01</t>
  </si>
  <si>
    <t>01.02</t>
  </si>
  <si>
    <t>01.03</t>
  </si>
  <si>
    <t>01.04</t>
  </si>
  <si>
    <t>01.05</t>
  </si>
  <si>
    <t>01.06</t>
  </si>
  <si>
    <t>02.01</t>
  </si>
  <si>
    <t>03.03</t>
  </si>
  <si>
    <t>03.02.3</t>
  </si>
  <si>
    <t>03.02.2</t>
  </si>
  <si>
    <t>03.02.1</t>
  </si>
  <si>
    <t>03.01.3</t>
  </si>
  <si>
    <t>03.01.2</t>
  </si>
  <si>
    <t>03.01.1.2</t>
  </si>
  <si>
    <t>03.01.1.1</t>
  </si>
  <si>
    <t>02.02.1</t>
  </si>
  <si>
    <t>02.02.2</t>
  </si>
  <si>
    <t>02.02.3</t>
  </si>
  <si>
    <t>02.02.4</t>
  </si>
  <si>
    <t>02.02.5</t>
  </si>
  <si>
    <t>02.03.1</t>
  </si>
  <si>
    <t>02.03.2</t>
  </si>
  <si>
    <t>02.03.3</t>
  </si>
  <si>
    <t>60 (Consommables)
61 (Services et biens divers)
624 (Frais de déplacement)</t>
  </si>
  <si>
    <t>01_Bureaux\01_Loyer</t>
  </si>
  <si>
    <t>01_Bureaux\02_Assurance</t>
  </si>
  <si>
    <t>01_Bureaux\03_Charges</t>
  </si>
  <si>
    <t>01_Bureaux\04_Télécommunication</t>
  </si>
  <si>
    <t>02_RH\01_Assurance\</t>
  </si>
  <si>
    <t>02_RH\02_UCM\01_Enveloppe Paie (Salaires)</t>
  </si>
  <si>
    <t>02_RH\02_UCM\02_ONSS</t>
  </si>
  <si>
    <t>02_RH\02_UCM\03_Precompte</t>
  </si>
  <si>
    <t>02_RH\02_UCM\04_Frais de gestion</t>
  </si>
  <si>
    <t>02_RH\02_UCM\05_Ecritures comptables</t>
  </si>
  <si>
    <t>02_RH\03_Notes de frais\01_Docs word</t>
  </si>
  <si>
    <t>02_RH\03_Notes de frais\02_Pieces justificatives</t>
  </si>
  <si>
    <t>02_RH\03_Notes de frais\03_Finalisees_(pdf signe&amp;pieces)</t>
  </si>
  <si>
    <t>60-61-624</t>
  </si>
  <si>
    <t>03_Frais fonction.\01_IT\01_Web\Hébergement</t>
  </si>
  <si>
    <t>03_Frais fonction.\01_IT\01_Web\Services (abonnements)</t>
  </si>
  <si>
    <t>03_Frais fonction.\01_IT\02_Softwares (achat)</t>
  </si>
  <si>
    <t>03_Frais fonction.\01_IT\03_Hardware</t>
  </si>
  <si>
    <t>03_Frais fonction.\02_Documentation\01_Livres</t>
  </si>
  <si>
    <t>03_Frais fonction.\02_Documentation\02_Juridique</t>
  </si>
  <si>
    <t>03_Frais fonction.\02_Documentation\03_Presse</t>
  </si>
  <si>
    <t>03_Frais fonction.\03_Formations</t>
  </si>
  <si>
    <t>01_Bureaux\05_Frais bancaire</t>
  </si>
  <si>
    <t>01_Bureaux\07_Alimentation</t>
  </si>
  <si>
    <t>01_Bureaux\08_Animaux</t>
  </si>
  <si>
    <t>01.07</t>
  </si>
  <si>
    <t>01.08</t>
  </si>
  <si>
    <t>03_Frais fonction.\04_Matériel\Mobilier</t>
  </si>
  <si>
    <t>03_Frais fonction.\04_Matériel\Papeterie</t>
  </si>
  <si>
    <t>D-Correction comptable_4901</t>
  </si>
  <si>
    <t>03.04.02</t>
  </si>
  <si>
    <t>03.04.01</t>
  </si>
  <si>
    <t>03.05.01</t>
  </si>
  <si>
    <t>03.05.02</t>
  </si>
  <si>
    <t>03_Frais fonction.\05_Subsides\Remboursement</t>
  </si>
  <si>
    <t>Remarques</t>
  </si>
  <si>
    <t>03_Frais fonction.\05_Subsides\Dépenses projets</t>
  </si>
  <si>
    <t>Dépenses projets ponctuels couverts
par des subsides non récurrents</t>
  </si>
  <si>
    <t>01_Bureaux\06_Frais légaux</t>
  </si>
  <si>
    <t>Assurance des locaux</t>
  </si>
  <si>
    <t>Prestations</t>
  </si>
  <si>
    <t>Ventes - Goodies</t>
  </si>
  <si>
    <t>Ventes - Le Secret</t>
  </si>
  <si>
    <t>732-734</t>
  </si>
  <si>
    <t xml:space="preserve">Subventions </t>
  </si>
  <si>
    <t>Subventions  COCOF - Le Secret</t>
  </si>
  <si>
    <t>Noms documents relatifs</t>
  </si>
  <si>
    <t>Pour les recettes, imprimer
les extraits de compte concernés</t>
  </si>
  <si>
    <t>732 = Subventions générales non affectées
734 = Subventions spécifiques affectées</t>
  </si>
  <si>
    <t>Chiffres d'affaires\Ventes - Formations</t>
  </si>
  <si>
    <t>N°
FARDE</t>
  </si>
  <si>
    <t>aaaa.mm.jj</t>
  </si>
  <si>
    <t>Bur.Loy</t>
  </si>
  <si>
    <t>Bur.Ass</t>
  </si>
  <si>
    <t>Bur.Charg</t>
  </si>
  <si>
    <t>Bur.Tel</t>
  </si>
  <si>
    <t>Bur.Frai.banc.</t>
  </si>
  <si>
    <t>Bur.Frai.lég.</t>
  </si>
  <si>
    <t>Bur.Alim</t>
  </si>
  <si>
    <t>Bur.Ani</t>
  </si>
  <si>
    <t>RH.Ass</t>
  </si>
  <si>
    <t>RH.UCM.Salaire</t>
  </si>
  <si>
    <t>RH.UCM.ONSS</t>
  </si>
  <si>
    <t>RH.UCM.Preco</t>
  </si>
  <si>
    <t>RH.UCM.FraiGest</t>
  </si>
  <si>
    <t>RH.UCM.EcrComp</t>
  </si>
  <si>
    <t>RH.NdF.DocW</t>
  </si>
  <si>
    <t>RH.NdF.PiecJust</t>
  </si>
  <si>
    <t>RH.NdF.FinPDF</t>
  </si>
  <si>
    <t>FF.IT.Web.Heberg.</t>
  </si>
  <si>
    <t>FF.IT.Web.Serv.abo.</t>
  </si>
  <si>
    <t>FF.IT.Soft</t>
  </si>
  <si>
    <t>CA_Ventes - Forma.)</t>
  </si>
  <si>
    <t>CA_Ventes - Goodies)</t>
  </si>
  <si>
    <t>CA_Ventes - Le Secret)</t>
  </si>
  <si>
    <t>CA_Prestations)</t>
  </si>
  <si>
    <t>Don)</t>
  </si>
  <si>
    <t>Don - Chloé Guyot)</t>
  </si>
  <si>
    <t>Don - Sorina)</t>
  </si>
  <si>
    <t>Cotisations)</t>
  </si>
  <si>
    <t>FF.IT.Hard</t>
  </si>
  <si>
    <t>FF.Doc.Liv</t>
  </si>
  <si>
    <t>FF.Doc.Jur</t>
  </si>
  <si>
    <t>FF.Doc.Pres</t>
  </si>
  <si>
    <t>FF.Forma</t>
  </si>
  <si>
    <t>FF.Mater.Papet.</t>
  </si>
  <si>
    <t>FF.Mater.Mobil.</t>
  </si>
  <si>
    <t>FF.Subs.Depen.</t>
  </si>
  <si>
    <t>FF.Subs.Remb.</t>
  </si>
  <si>
    <t>Dépenses projets ponctuels</t>
  </si>
  <si>
    <t>03.06.01</t>
  </si>
  <si>
    <t>03_Frais fonction.\06_Projets</t>
  </si>
  <si>
    <t>FF.Projets</t>
  </si>
  <si>
    <t>Chemin complet des noms
de dossiers</t>
  </si>
  <si>
    <t>R-Correction comptable_4901</t>
  </si>
  <si>
    <t>LUMINUS</t>
  </si>
  <si>
    <t>MÉDOR</t>
  </si>
  <si>
    <t>MONITEUR BELGE</t>
  </si>
  <si>
    <t>COLRUYT</t>
  </si>
  <si>
    <t>CO&amp;GO</t>
  </si>
  <si>
    <t>BOULANGERIE</t>
  </si>
  <si>
    <t>AVA</t>
  </si>
  <si>
    <t>BLAST</t>
  </si>
  <si>
    <t>ACTION</t>
  </si>
  <si>
    <t>DELHAIZE</t>
  </si>
  <si>
    <t>CLUB</t>
  </si>
  <si>
    <t>VETERINAIRE</t>
  </si>
  <si>
    <t>AMAZON</t>
  </si>
  <si>
    <t>LIBRAIRIE</t>
  </si>
  <si>
    <t>BRICO</t>
  </si>
  <si>
    <t>SNCB</t>
  </si>
  <si>
    <t>SHOP &amp; GO</t>
  </si>
  <si>
    <t>STIB</t>
  </si>
  <si>
    <t>TRAFIC</t>
  </si>
  <si>
    <t>TOM&amp;CO</t>
  </si>
  <si>
    <t>STARBUCKS</t>
  </si>
  <si>
    <t>PANOS</t>
  </si>
  <si>
    <t>LEONIDAS</t>
  </si>
  <si>
    <t>MEDIAPART</t>
  </si>
  <si>
    <t>LEFEBVRE SARRUT</t>
  </si>
  <si>
    <t>MICROSOFT</t>
  </si>
  <si>
    <t>TRANSPORT</t>
  </si>
  <si>
    <t>PRESSES UNIVERSITAIRE</t>
  </si>
  <si>
    <t>SHELL</t>
  </si>
  <si>
    <t>SHOP BOTA</t>
  </si>
  <si>
    <t>PALAIS DES THES</t>
  </si>
  <si>
    <t>CRF EXP</t>
  </si>
  <si>
    <t>NAD 02</t>
  </si>
  <si>
    <t>ZEEMAN</t>
  </si>
  <si>
    <t>PAUL</t>
  </si>
  <si>
    <t>NOV</t>
  </si>
  <si>
    <t>PAYPAL</t>
  </si>
  <si>
    <t>LIBRE A TOI</t>
  </si>
  <si>
    <t>MONDIAL RELAY</t>
  </si>
  <si>
    <t>D-01.01_(Bur.Loy)_613</t>
  </si>
  <si>
    <t>D-01.02_(Bur.Ass)_616</t>
  </si>
  <si>
    <t>D-01.03_(Bur.Charg)_613</t>
  </si>
  <si>
    <t>D-01.04_(Bur.Tel)_6161</t>
  </si>
  <si>
    <t>D-01.05_(Bur.Frai.banc.)_657</t>
  </si>
  <si>
    <t>D-01.06_(Bur.Frai.lég.)_6164</t>
  </si>
  <si>
    <t>D-01.07_(Bur.Alim)_60</t>
  </si>
  <si>
    <t>D-01.08_(Bur.Ani)_60</t>
  </si>
  <si>
    <t>D-02.01_(RH.Ass)_622</t>
  </si>
  <si>
    <t>D-02.02.1_(RH.UCM.Salaire)_620</t>
  </si>
  <si>
    <t>D-02.02.2_(RH.UCM.ONSS)_621</t>
  </si>
  <si>
    <t>D-02.02.3_(RH.UCM.Preco)_621</t>
  </si>
  <si>
    <t>D-02.02.4_(RH.UCM.FraiGest)_623</t>
  </si>
  <si>
    <t>D-02.03.3_(RH.NdF.FinPDF)_60-61-624</t>
  </si>
  <si>
    <t>D-03.01.1.1_(FF.IT.Web.Heberg.)_6162</t>
  </si>
  <si>
    <t>D-03.01.1.2_(FF.IT.Web.Serv.abo.)_6162</t>
  </si>
  <si>
    <t>D-03.01.2_(FF.IT.Soft)_6163</t>
  </si>
  <si>
    <t>D-03.01.3_(FF.IT.Hard)_6163</t>
  </si>
  <si>
    <t>D-03.02.1_(FF.Doc.Liv)_641</t>
  </si>
  <si>
    <t>D-03.02.2_(FF.Doc.Jur)_6413</t>
  </si>
  <si>
    <t>D-03.02.3_(FF.Doc.Pres)_641</t>
  </si>
  <si>
    <t>D-03.03_(FF.Forma)_6421</t>
  </si>
  <si>
    <t>D-03.04.01_(FF.Mater.Papet.)_6061</t>
  </si>
  <si>
    <t>D-03.04.02_(FF.Mater.Mobil.)_2300</t>
  </si>
  <si>
    <t>D-03.05.01_(FF.Subs.Depen.)_66A</t>
  </si>
  <si>
    <t>D-03.05.02_(FF.Subs.Remb.)_73</t>
  </si>
  <si>
    <t>D-03.06.01_(FF.Projets)_</t>
  </si>
  <si>
    <t>R-_CA_Ventes - Forma.)_700</t>
  </si>
  <si>
    <t>R-_CA_Ventes - Goodies)_700</t>
  </si>
  <si>
    <t>R-_CA_Ventes - Le Secret)_700</t>
  </si>
  <si>
    <t>R-_CA_Prestations)_7001</t>
  </si>
  <si>
    <t>R-_Don)_7311</t>
  </si>
  <si>
    <t>R-_Don - Chloé Guyot)_7311</t>
  </si>
  <si>
    <t>R-_Don - Sorina)_7311</t>
  </si>
  <si>
    <t>R-_Cotisations)_7312</t>
  </si>
  <si>
    <t>R-_Subventions _732-734</t>
  </si>
  <si>
    <t>R-_Subventions  COCOF - Le Secret_734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</si>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</sst>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d/m/yyyy"/>
    <numFmt numFmtId="165" formatCode="_-* #,##0.00\ [$€-80C]_-;\-* #,##0.00\ [$€-80C]_-;_-* &quot;-&quot;??\ [$€-80C]_-;_-@_-"/>
  </numFmts>
  <fonts count="5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4"/>
      <color theme="1"/>
      <name val="Calibri"/>
      <family val="2"/>
      <scheme val="minor"/>
    </font>
    <font>
      <b/>
      <sz val="11"/>
      <color rgb="FFFF0000"/>
      <name val="Calibri"/>
      <family val="2"/>
      <scheme val="minor"/>
    </font>
    <font>
      <b/>
      <sz val="11"/>
      <color theme="5"/>
      <name val="Calibri"/>
      <family val="2"/>
      <scheme val="minor"/>
    </font>
    <font>
      <b/>
      <i/>
      <sz val="12"/>
      <color rgb="FF92D050"/>
      <name val="Calibri"/>
      <family val="2"/>
      <scheme val="minor"/>
    </font>
    <font>
      <sz val="11"/>
      <color rgb="FF00B050"/>
      <name val="Calibri"/>
      <family val="2"/>
      <scheme val="minor"/>
    </font>
    <font>
      <sz val="11"/>
      <color theme="9"/>
      <name val="Calibri"/>
      <family val="2"/>
      <scheme val="minor"/>
    </font>
    <font>
      <sz val="10"/>
      <color theme="1"/>
      <name val="Calibri"/>
      <family val="2"/>
      <scheme val="minor"/>
    </font>
    <font>
      <sz val="10"/>
      <color rgb="FFFF0000"/>
      <name val="Calibri"/>
      <family val="2"/>
      <scheme val="minor"/>
    </font>
    <font>
      <b/>
      <sz val="11"/>
      <color rgb="FF0070C0"/>
      <name val="Calibri"/>
      <family val="2"/>
      <scheme val="minor"/>
    </font>
    <font>
      <sz val="8"/>
      <name val="Calibri"/>
      <family val="2"/>
      <scheme val="minor"/>
    </font>
    <font>
      <b/>
      <sz val="11"/>
      <color theme="8"/>
      <name val="Calibri"/>
      <family val="2"/>
      <scheme val="minor"/>
    </font>
    <font>
      <b/>
      <sz val="11"/>
      <color theme="9"/>
      <name val="Calibri"/>
      <family val="2"/>
      <scheme val="minor"/>
    </font>
    <font>
      <b/>
      <sz val="11"/>
      <color rgb="FFFFFF00"/>
      <name val="Calibri"/>
      <family val="2"/>
      <scheme val="minor"/>
    </font>
    <font>
      <b/>
      <sz val="12"/>
      <color rgb="FFFFFF00"/>
      <name val="Calibri"/>
      <family val="2"/>
      <scheme val="minor"/>
    </font>
    <font>
      <sz val="14"/>
      <color theme="1"/>
      <name val="Calibri"/>
      <family val="2"/>
      <scheme val="minor"/>
    </font>
    <font>
      <sz val="11"/>
      <color theme="1"/>
      <name val="Calibri"/>
      <family val="2"/>
    </font>
    <font>
      <sz val="10"/>
      <name val="Calibri"/>
      <family val="2"/>
      <scheme val="minor"/>
    </font>
    <font>
      <b/>
      <sz val="12"/>
      <color rgb="FFFF0000"/>
      <name val="Calibri"/>
      <family val="2"/>
      <scheme val="minor"/>
    </font>
    <font>
      <b/>
      <sz val="14"/>
      <name val="Calibri"/>
      <family val="2"/>
    </font>
    <font>
      <b/>
      <sz val="11"/>
      <name val="Calibri"/>
      <family val="2"/>
      <scheme val="minor"/>
    </font>
    <font>
      <b/>
      <sz val="14"/>
      <name val="Calibri"/>
      <family val="2"/>
      <scheme val="minor"/>
    </font>
    <font>
      <b/>
      <sz val="10"/>
      <color rgb="FFFF0000"/>
      <name val="Calibri"/>
      <family val="2"/>
      <scheme val="minor"/>
    </font>
    <font>
      <b/>
      <sz val="12"/>
      <color theme="1"/>
      <name val="Calibri"/>
      <family val="2"/>
      <scheme val="minor"/>
    </font>
    <font>
      <b/>
      <sz val="11"/>
      <color theme="4"/>
      <name val="Calibri"/>
      <family val="2"/>
      <scheme val="minor"/>
    </font>
    <font>
      <b/>
      <sz val="10"/>
      <color theme="4"/>
      <name val="Calibri"/>
      <family val="2"/>
      <scheme val="minor"/>
    </font>
    <font>
      <b/>
      <sz val="16"/>
      <color theme="1"/>
      <name val="Calibri"/>
      <family val="2"/>
      <scheme val="minor"/>
    </font>
    <font>
      <b/>
      <sz val="13.5"/>
      <color theme="1"/>
      <name val="Calibri"/>
      <family val="2"/>
      <scheme val="minor"/>
    </font>
    <font>
      <b/>
      <sz val="18"/>
      <color theme="1"/>
      <name val="Calibri"/>
      <family val="2"/>
      <scheme val="minor"/>
    </font>
    <font>
      <sz val="13"/>
      <color theme="1"/>
      <name val="Calibri"/>
      <family val="2"/>
      <scheme val="minor"/>
    </font>
    <font>
      <sz val="11"/>
      <name val="Arial"/>
      <family val="2"/>
    </font>
    <font>
      <sz val="11"/>
      <color theme="1"/>
      <name val="Arial"/>
      <family val="2"/>
    </font>
    <font>
      <i/>
      <sz val="11"/>
      <color theme="1"/>
      <name val="Calibri"/>
      <family val="2"/>
      <scheme val="minor"/>
    </font>
    <font>
      <i/>
      <sz val="11"/>
      <color rgb="FF7030A0"/>
      <name val="Calibri"/>
      <family val="2"/>
      <scheme val="minor"/>
    </font>
    <font>
      <sz val="12"/>
      <color theme="1"/>
      <name val="Calibri"/>
      <family val="2"/>
      <scheme val="minor"/>
    </font>
    <font>
      <i/>
      <sz val="12"/>
      <color theme="1"/>
      <name val="Calibri"/>
      <family val="2"/>
      <scheme val="minor"/>
    </font>
    <font>
      <b/>
      <i/>
      <sz val="11"/>
      <color theme="1"/>
      <name val="Calibri"/>
      <family val="2"/>
      <scheme val="minor"/>
    </font>
    <font>
      <i/>
      <sz val="11"/>
      <color rgb="FFFF0000"/>
      <name val="Calibri"/>
      <family val="2"/>
      <scheme val="minor"/>
    </font>
    <font>
      <b/>
      <i/>
      <sz val="11"/>
      <color rgb="FFFF0000"/>
      <name val="Calibri"/>
      <family val="2"/>
      <scheme val="minor"/>
    </font>
    <font>
      <b/>
      <sz val="14"/>
      <color rgb="FFFF0000"/>
      <name val="Calibri"/>
      <family val="2"/>
      <scheme val="minor"/>
    </font>
    <font>
      <sz val="12"/>
      <color rgb="FFFF0000"/>
      <name val="Calibri"/>
      <family val="2"/>
      <scheme val="minor"/>
    </font>
    <font>
      <b/>
      <i/>
      <sz val="14"/>
      <color rgb="FFFF0000"/>
      <name val="Calibri"/>
      <family val="2"/>
      <scheme val="minor"/>
    </font>
    <font>
      <b/>
      <sz val="22"/>
      <color theme="1"/>
      <name val="Calibri"/>
      <family val="2"/>
      <scheme val="minor"/>
    </font>
    <font>
      <i/>
      <sz val="11"/>
      <color theme="0" tint="-0.499984740745262"/>
      <name val="Calibri"/>
      <family val="2"/>
      <scheme val="minor"/>
    </font>
    <font>
      <b/>
      <sz val="22"/>
      <color rgb="FFFF0000"/>
      <name val="Calibri"/>
      <family val="2"/>
      <scheme val="minor"/>
    </font>
    <font>
      <sz val="9"/>
      <color theme="1"/>
      <name val="Calibri"/>
      <family val="2"/>
      <scheme val="minor"/>
    </font>
    <font>
      <sz val="8"/>
      <color theme="1"/>
      <name val="Calibri"/>
      <family val="2"/>
      <scheme val="minor"/>
    </font>
  </fonts>
  <fills count="3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rgb="FFEAC1FF"/>
        <bgColor indexed="64"/>
      </patternFill>
    </fill>
    <fill>
      <patternFill patternType="solid">
        <fgColor rgb="FFE1FFE1"/>
        <bgColor indexed="64"/>
      </patternFill>
    </fill>
    <fill>
      <patternFill patternType="solid">
        <fgColor rgb="FFFFEFEB"/>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D685FF"/>
        <bgColor indexed="64"/>
      </patternFill>
    </fill>
    <fill>
      <patternFill patternType="solid">
        <fgColor theme="5"/>
        <bgColor indexed="64"/>
      </patternFill>
    </fill>
    <fill>
      <patternFill patternType="solid">
        <fgColor rgb="FFFF7575"/>
        <bgColor indexed="64"/>
      </patternFill>
    </fill>
    <fill>
      <patternFill patternType="solid">
        <fgColor theme="5" tint="0.79998168889431442"/>
        <bgColor indexed="64"/>
      </patternFill>
    </fill>
    <fill>
      <patternFill patternType="solid">
        <fgColor theme="0"/>
        <bgColor indexed="64"/>
      </patternFill>
    </fill>
    <fill>
      <patternFill patternType="solid">
        <fgColor theme="1" tint="0.34998626667073579"/>
        <bgColor indexed="64"/>
      </patternFill>
    </fill>
    <fill>
      <gradientFill>
        <stop position="0">
          <color theme="4" tint="0.59999389629810485"/>
        </stop>
        <stop position="1">
          <color theme="9" tint="0.59999389629810485"/>
        </stop>
      </gradientFill>
    </fill>
    <fill>
      <patternFill patternType="solid">
        <fgColor theme="1"/>
        <bgColor indexed="64"/>
      </patternFill>
    </fill>
    <fill>
      <patternFill patternType="solid">
        <fgColor rgb="FFF1D5FF"/>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FFC1C1"/>
        <bgColor indexed="64"/>
      </patternFill>
    </fill>
    <fill>
      <patternFill patternType="solid">
        <fgColor rgb="FFFFC41D"/>
        <bgColor indexed="64"/>
      </patternFill>
    </fill>
    <fill>
      <patternFill patternType="solid">
        <fgColor rgb="FFFFE1E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theme="1"/>
      </bottom>
      <diagonal/>
    </border>
    <border>
      <left style="medium">
        <color indexed="64"/>
      </left>
      <right style="medium">
        <color indexed="64"/>
      </right>
      <top style="medium">
        <color indexed="64"/>
      </top>
      <bottom style="thin">
        <color theme="1"/>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480">
    <xf numFmtId="0" fontId="0" fillId="0" borderId="0" xfId="0"/>
    <xf numFmtId="0" fontId="0" fillId="0" borderId="1" xfId="0" applyBorder="1"/>
    <xf numFmtId="0" fontId="1" fillId="0" borderId="0" xfId="0" applyFont="1"/>
    <xf numFmtId="0" fontId="6" fillId="2" borderId="6" xfId="0" applyFont="1" applyFill="1" applyBorder="1"/>
    <xf numFmtId="0" fontId="0" fillId="0" borderId="4" xfId="0" applyBorder="1"/>
    <xf numFmtId="0" fontId="0" fillId="3" borderId="4" xfId="0" applyFill="1" applyBorder="1"/>
    <xf numFmtId="0" fontId="8" fillId="0" borderId="4" xfId="0" applyFont="1" applyBorder="1"/>
    <xf numFmtId="0" fontId="9" fillId="0" borderId="4" xfId="0" applyFont="1" applyBorder="1"/>
    <xf numFmtId="0" fontId="0" fillId="0" borderId="5" xfId="0" applyBorder="1"/>
    <xf numFmtId="0" fontId="4" fillId="3" borderId="4" xfId="0" applyFont="1" applyFill="1" applyBorder="1"/>
    <xf numFmtId="0" fontId="0" fillId="2" borderId="7" xfId="0" applyFill="1" applyBorder="1"/>
    <xf numFmtId="0" fontId="0" fillId="4" borderId="8" xfId="0" applyFill="1" applyBorder="1"/>
    <xf numFmtId="0" fontId="0" fillId="2" borderId="10" xfId="0" applyFill="1" applyBorder="1"/>
    <xf numFmtId="0" fontId="0" fillId="4" borderId="11" xfId="0" applyFill="1" applyBorder="1"/>
    <xf numFmtId="0" fontId="0" fillId="0" borderId="12" xfId="0" applyBorder="1" applyAlignment="1">
      <alignment vertical="top"/>
    </xf>
    <xf numFmtId="0" fontId="10" fillId="4" borderId="11" xfId="0" applyFont="1" applyFill="1" applyBorder="1"/>
    <xf numFmtId="0" fontId="4" fillId="2" borderId="10" xfId="0" applyFont="1" applyFill="1" applyBorder="1"/>
    <xf numFmtId="0" fontId="4" fillId="2" borderId="13" xfId="0" applyFont="1" applyFill="1" applyBorder="1"/>
    <xf numFmtId="0" fontId="10" fillId="4" borderId="14" xfId="0" applyFont="1" applyFill="1" applyBorder="1"/>
    <xf numFmtId="0" fontId="0" fillId="0" borderId="15" xfId="0" applyBorder="1" applyAlignment="1">
      <alignment vertical="top"/>
    </xf>
    <xf numFmtId="0" fontId="0" fillId="4" borderId="16" xfId="0" applyFill="1" applyBorder="1"/>
    <xf numFmtId="0" fontId="0" fillId="4" borderId="1" xfId="0" applyFill="1" applyBorder="1"/>
    <xf numFmtId="0" fontId="0" fillId="4" borderId="19" xfId="0" applyFill="1" applyBorder="1"/>
    <xf numFmtId="0" fontId="0" fillId="2" borderId="20" xfId="0" applyFill="1" applyBorder="1" applyAlignment="1">
      <alignment horizontal="left" vertical="top"/>
    </xf>
    <xf numFmtId="0" fontId="0" fillId="2" borderId="13" xfId="0" applyFill="1" applyBorder="1"/>
    <xf numFmtId="0" fontId="0" fillId="4" borderId="21" xfId="0" applyFill="1" applyBorder="1"/>
    <xf numFmtId="0" fontId="0" fillId="0" borderId="22" xfId="0" applyBorder="1"/>
    <xf numFmtId="0" fontId="0" fillId="5" borderId="0" xfId="0" applyFill="1"/>
    <xf numFmtId="0" fontId="11" fillId="0" borderId="6" xfId="0" applyFont="1" applyBorder="1"/>
    <xf numFmtId="0" fontId="11" fillId="0" borderId="4" xfId="0" applyFont="1" applyBorder="1"/>
    <xf numFmtId="0" fontId="11" fillId="0" borderId="5" xfId="0" applyFont="1" applyBorder="1"/>
    <xf numFmtId="0" fontId="13" fillId="0" borderId="23" xfId="0" applyFont="1" applyBorder="1"/>
    <xf numFmtId="0" fontId="3" fillId="0" borderId="23" xfId="0" applyFont="1" applyBorder="1" applyAlignment="1">
      <alignment horizontal="center" vertical="center"/>
    </xf>
    <xf numFmtId="0" fontId="0" fillId="0" borderId="0" xfId="0" applyAlignment="1">
      <alignment horizontal="center" vertical="center"/>
    </xf>
    <xf numFmtId="0" fontId="3" fillId="0" borderId="12"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2" fillId="0" borderId="0" xfId="0" applyFont="1"/>
    <xf numFmtId="0" fontId="3" fillId="0" borderId="27" xfId="0" applyFont="1" applyBorder="1" applyAlignment="1">
      <alignment horizontal="center" vertical="center"/>
    </xf>
    <xf numFmtId="0" fontId="2" fillId="0" borderId="1" xfId="0" applyFont="1" applyBorder="1" applyAlignment="1">
      <alignment horizontal="center" vertical="center"/>
    </xf>
    <xf numFmtId="0" fontId="15" fillId="7" borderId="1" xfId="0" applyFont="1" applyFill="1" applyBorder="1" applyAlignment="1">
      <alignment horizontal="center" vertical="center"/>
    </xf>
    <xf numFmtId="0" fontId="0" fillId="7" borderId="1" xfId="0" applyFill="1" applyBorder="1" applyAlignment="1">
      <alignment horizontal="center" vertical="center"/>
    </xf>
    <xf numFmtId="0" fontId="16" fillId="8" borderId="1" xfId="0" applyFont="1" applyFill="1" applyBorder="1" applyAlignment="1">
      <alignment horizontal="center" vertical="center"/>
    </xf>
    <xf numFmtId="0" fontId="16" fillId="9" borderId="1" xfId="0" applyFont="1" applyFill="1" applyBorder="1" applyAlignment="1">
      <alignment horizontal="center" vertical="center"/>
    </xf>
    <xf numFmtId="0" fontId="2" fillId="0" borderId="28" xfId="0" applyFont="1" applyBorder="1"/>
    <xf numFmtId="0" fontId="2" fillId="0" borderId="28" xfId="0" applyFont="1" applyBorder="1" applyAlignment="1">
      <alignment horizontal="center" vertical="center"/>
    </xf>
    <xf numFmtId="0" fontId="15" fillId="7"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20" xfId="0" applyFont="1" applyFill="1" applyBorder="1" applyAlignment="1">
      <alignment horizontal="center" vertical="center"/>
    </xf>
    <xf numFmtId="0" fontId="3" fillId="0" borderId="30" xfId="0" applyFont="1" applyBorder="1" applyAlignment="1">
      <alignment horizontal="center" vertical="center"/>
    </xf>
    <xf numFmtId="0" fontId="18" fillId="10" borderId="1" xfId="0" applyFont="1" applyFill="1" applyBorder="1" applyAlignment="1">
      <alignment horizontal="center" vertical="center"/>
    </xf>
    <xf numFmtId="0" fontId="16" fillId="4" borderId="1" xfId="0" applyFont="1" applyFill="1" applyBorder="1" applyAlignment="1">
      <alignment horizontal="center" vertical="center"/>
    </xf>
    <xf numFmtId="0" fontId="3" fillId="11" borderId="23" xfId="0" applyFont="1" applyFill="1" applyBorder="1" applyAlignment="1">
      <alignment horizontal="center" vertical="center"/>
    </xf>
    <xf numFmtId="0" fontId="4" fillId="9" borderId="1" xfId="0" applyFont="1" applyFill="1" applyBorder="1" applyAlignment="1">
      <alignment horizontal="left" vertical="center"/>
    </xf>
    <xf numFmtId="0" fontId="16" fillId="8" borderId="1" xfId="0" applyFont="1" applyFill="1" applyBorder="1" applyAlignment="1">
      <alignment horizontal="left" vertical="center"/>
    </xf>
    <xf numFmtId="0" fontId="16" fillId="4" borderId="1" xfId="0" applyFont="1" applyFill="1" applyBorder="1" applyAlignment="1">
      <alignment horizontal="left" vertical="center"/>
    </xf>
    <xf numFmtId="0" fontId="0" fillId="7" borderId="1" xfId="0" applyFill="1" applyBorder="1" applyAlignment="1">
      <alignment horizontal="left" vertical="center"/>
    </xf>
    <xf numFmtId="0" fontId="17" fillId="10"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3" fillId="0" borderId="2" xfId="0" applyFont="1" applyBorder="1" applyAlignment="1">
      <alignment horizontal="center" vertical="center"/>
    </xf>
    <xf numFmtId="0" fontId="19" fillId="6" borderId="6" xfId="0" applyFont="1" applyFill="1" applyBorder="1" applyAlignment="1">
      <alignment horizontal="center"/>
    </xf>
    <xf numFmtId="0" fontId="0" fillId="0" borderId="6" xfId="0" applyBorder="1"/>
    <xf numFmtId="0" fontId="21" fillId="0" borderId="4" xfId="0" applyFont="1" applyBorder="1"/>
    <xf numFmtId="0" fontId="0" fillId="0" borderId="9" xfId="0" applyBorder="1" applyAlignment="1">
      <alignment vertical="top"/>
    </xf>
    <xf numFmtId="0" fontId="0" fillId="0" borderId="17" xfId="0" applyBorder="1"/>
    <xf numFmtId="0" fontId="0" fillId="0" borderId="18" xfId="0" applyBorder="1"/>
    <xf numFmtId="0" fontId="3" fillId="0" borderId="2" xfId="0" applyFont="1" applyBorder="1"/>
    <xf numFmtId="0" fontId="3" fillId="0" borderId="3" xfId="0" applyFont="1" applyBorder="1"/>
    <xf numFmtId="0" fontId="22" fillId="0" borderId="23" xfId="0" applyFont="1" applyBorder="1" applyAlignment="1">
      <alignment horizontal="center" vertical="center"/>
    </xf>
    <xf numFmtId="164" fontId="23" fillId="0" borderId="31" xfId="0" applyNumberFormat="1" applyFont="1" applyBorder="1" applyAlignment="1">
      <alignment horizontal="left" vertical="center" wrapText="1"/>
    </xf>
    <xf numFmtId="0" fontId="23" fillId="0" borderId="32" xfId="0" applyFont="1" applyBorder="1" applyAlignment="1">
      <alignment horizontal="left" vertical="center"/>
    </xf>
    <xf numFmtId="164" fontId="23" fillId="0" borderId="23" xfId="0" applyNumberFormat="1" applyFont="1" applyBorder="1" applyAlignment="1">
      <alignment horizontal="center" vertical="center"/>
    </xf>
    <xf numFmtId="164" fontId="20" fillId="0" borderId="1" xfId="0" applyNumberFormat="1" applyFont="1" applyBorder="1"/>
    <xf numFmtId="0" fontId="20" fillId="0" borderId="1" xfId="0" applyFont="1" applyBorder="1"/>
    <xf numFmtId="164" fontId="20" fillId="12" borderId="33" xfId="0" applyNumberFormat="1" applyFont="1" applyFill="1" applyBorder="1"/>
    <xf numFmtId="164" fontId="20" fillId="13" borderId="33" xfId="0" applyNumberFormat="1" applyFont="1" applyFill="1" applyBorder="1"/>
    <xf numFmtId="164" fontId="20" fillId="14" borderId="1" xfId="0" applyNumberFormat="1" applyFont="1" applyFill="1" applyBorder="1"/>
    <xf numFmtId="0" fontId="20" fillId="14" borderId="1" xfId="0" applyFont="1" applyFill="1" applyBorder="1"/>
    <xf numFmtId="164" fontId="20" fillId="12" borderId="34" xfId="0" applyNumberFormat="1" applyFont="1" applyFill="1" applyBorder="1"/>
    <xf numFmtId="164" fontId="20" fillId="12" borderId="33" xfId="0" applyNumberFormat="1" applyFont="1" applyFill="1" applyBorder="1" applyAlignment="1">
      <alignment vertical="center"/>
    </xf>
    <xf numFmtId="164" fontId="20" fillId="12" borderId="35" xfId="0" applyNumberFormat="1" applyFont="1" applyFill="1" applyBorder="1"/>
    <xf numFmtId="0" fontId="0" fillId="0" borderId="16" xfId="0" applyBorder="1"/>
    <xf numFmtId="0" fontId="0" fillId="0" borderId="43" xfId="0" applyBorder="1"/>
    <xf numFmtId="0" fontId="0" fillId="0" borderId="19" xfId="0" applyBorder="1"/>
    <xf numFmtId="0" fontId="0" fillId="0" borderId="8" xfId="0" applyBorder="1"/>
    <xf numFmtId="0" fontId="0" fillId="0" borderId="11" xfId="0" applyBorder="1"/>
    <xf numFmtId="0" fontId="0" fillId="0" borderId="48" xfId="0" applyBorder="1"/>
    <xf numFmtId="0" fontId="0" fillId="0" borderId="14" xfId="0" applyBorder="1"/>
    <xf numFmtId="0" fontId="5" fillId="8" borderId="3" xfId="0" applyFont="1" applyFill="1" applyBorder="1"/>
    <xf numFmtId="0" fontId="0" fillId="0" borderId="49" xfId="0" applyBorder="1"/>
    <xf numFmtId="0" fontId="0" fillId="0" borderId="50" xfId="0" applyBorder="1"/>
    <xf numFmtId="0" fontId="0" fillId="0" borderId="51" xfId="0" applyBorder="1"/>
    <xf numFmtId="0" fontId="0" fillId="0" borderId="52" xfId="0" applyBorder="1"/>
    <xf numFmtId="0" fontId="0" fillId="17" borderId="9" xfId="0" applyFill="1" applyBorder="1"/>
    <xf numFmtId="0" fontId="0" fillId="17" borderId="12" xfId="0" applyFill="1" applyBorder="1"/>
    <xf numFmtId="0" fontId="0" fillId="17" borderId="41" xfId="0" applyFill="1" applyBorder="1"/>
    <xf numFmtId="0" fontId="0" fillId="17" borderId="15" xfId="0" applyFill="1" applyBorder="1"/>
    <xf numFmtId="0" fontId="0" fillId="0" borderId="53" xfId="0" applyBorder="1"/>
    <xf numFmtId="0" fontId="0" fillId="0" borderId="33" xfId="0" applyBorder="1"/>
    <xf numFmtId="0" fontId="0" fillId="0" borderId="54" xfId="0" applyBorder="1"/>
    <xf numFmtId="0" fontId="0" fillId="0" borderId="35" xfId="0" applyBorder="1"/>
    <xf numFmtId="0" fontId="0" fillId="0" borderId="12" xfId="0" applyBorder="1"/>
    <xf numFmtId="0" fontId="0" fillId="18" borderId="12" xfId="0" applyFill="1" applyBorder="1" applyAlignment="1">
      <alignment horizontal="center" vertical="center"/>
    </xf>
    <xf numFmtId="0" fontId="0" fillId="0" borderId="9" xfId="0" applyBorder="1"/>
    <xf numFmtId="0" fontId="0" fillId="0" borderId="15" xfId="0" applyBorder="1"/>
    <xf numFmtId="0" fontId="0" fillId="7" borderId="9" xfId="0" applyFill="1" applyBorder="1"/>
    <xf numFmtId="0" fontId="0" fillId="7" borderId="12" xfId="0" applyFill="1" applyBorder="1"/>
    <xf numFmtId="0" fontId="5" fillId="8" borderId="23" xfId="0" applyFont="1" applyFill="1" applyBorder="1" applyAlignment="1">
      <alignment horizontal="center" vertical="center"/>
    </xf>
    <xf numFmtId="0" fontId="5" fillId="8" borderId="23" xfId="0" applyFont="1" applyFill="1" applyBorder="1" applyAlignment="1">
      <alignment horizontal="center" vertical="center" wrapText="1"/>
    </xf>
    <xf numFmtId="0" fontId="11" fillId="0" borderId="4" xfId="0" applyFont="1" applyBorder="1" applyAlignment="1">
      <alignment horizontal="left" vertical="center"/>
    </xf>
    <xf numFmtId="0" fontId="0" fillId="0" borderId="4" xfId="0" applyBorder="1" applyAlignment="1">
      <alignment horizontal="left" vertical="center"/>
    </xf>
    <xf numFmtId="0" fontId="0" fillId="0" borderId="12" xfId="0" applyBorder="1" applyAlignment="1">
      <alignment horizontal="left" vertical="center"/>
    </xf>
    <xf numFmtId="0" fontId="30" fillId="19" borderId="23" xfId="0" applyFont="1" applyFill="1" applyBorder="1" applyAlignment="1">
      <alignment horizontal="center" vertical="center"/>
    </xf>
    <xf numFmtId="0" fontId="4" fillId="0" borderId="49" xfId="0" applyFont="1" applyBorder="1"/>
    <xf numFmtId="0" fontId="4" fillId="0" borderId="50" xfId="0" applyFont="1" applyBorder="1"/>
    <xf numFmtId="0" fontId="4" fillId="0" borderId="51" xfId="0" applyFont="1" applyBorder="1"/>
    <xf numFmtId="0" fontId="4" fillId="0" borderId="52" xfId="0" applyFont="1" applyBorder="1"/>
    <xf numFmtId="0" fontId="5" fillId="8" borderId="3" xfId="0" applyFont="1" applyFill="1" applyBorder="1" applyAlignment="1">
      <alignment horizontal="center" vertical="center"/>
    </xf>
    <xf numFmtId="0" fontId="0" fillId="16" borderId="9" xfId="0" applyFill="1" applyBorder="1" applyAlignment="1">
      <alignment horizontal="center" vertical="center" wrapText="1"/>
    </xf>
    <xf numFmtId="0" fontId="0" fillId="16" borderId="12" xfId="0" applyFill="1" applyBorder="1" applyAlignment="1">
      <alignment horizontal="center" vertical="center" wrapText="1"/>
    </xf>
    <xf numFmtId="0" fontId="0" fillId="16" borderId="15" xfId="0" applyFill="1" applyBorder="1" applyAlignment="1">
      <alignment horizontal="center" vertical="center" wrapText="1"/>
    </xf>
    <xf numFmtId="0" fontId="0" fillId="5" borderId="24"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41" xfId="0" applyFill="1" applyBorder="1" applyAlignment="1">
      <alignment horizontal="center" vertical="center" wrapText="1"/>
    </xf>
    <xf numFmtId="0" fontId="0" fillId="7" borderId="12" xfId="0" applyFill="1" applyBorder="1" applyAlignment="1">
      <alignment horizontal="left" vertical="center"/>
    </xf>
    <xf numFmtId="0" fontId="0" fillId="0" borderId="0" xfId="0" applyAlignment="1">
      <alignment horizontal="left" vertical="center" indent="1"/>
    </xf>
    <xf numFmtId="0" fontId="30" fillId="0" borderId="0" xfId="0" applyFont="1" applyAlignment="1">
      <alignment vertical="center"/>
    </xf>
    <xf numFmtId="0" fontId="3" fillId="0" borderId="0" xfId="0" applyFont="1" applyAlignment="1">
      <alignment vertical="center"/>
    </xf>
    <xf numFmtId="0" fontId="0" fillId="0" borderId="44" xfId="0" applyBorder="1"/>
    <xf numFmtId="0" fontId="5" fillId="0" borderId="2" xfId="0" applyFont="1" applyBorder="1" applyAlignment="1">
      <alignment horizontal="center" vertical="center"/>
    </xf>
    <xf numFmtId="0" fontId="5" fillId="0" borderId="47" xfId="0" applyFont="1" applyBorder="1" applyAlignment="1">
      <alignment horizontal="center" vertical="center"/>
    </xf>
    <xf numFmtId="165" fontId="0" fillId="0" borderId="0" xfId="0" applyNumberFormat="1"/>
    <xf numFmtId="0" fontId="33" fillId="0" borderId="29" xfId="0" applyFont="1" applyBorder="1" applyAlignment="1">
      <alignment horizontal="right" vertical="center" indent="1"/>
    </xf>
    <xf numFmtId="0" fontId="3" fillId="0" borderId="20" xfId="0" applyFont="1" applyBorder="1" applyAlignment="1">
      <alignment horizontal="right"/>
    </xf>
    <xf numFmtId="165" fontId="0" fillId="0" borderId="12" xfId="0" applyNumberFormat="1" applyBorder="1"/>
    <xf numFmtId="165" fontId="0" fillId="0" borderId="58" xfId="0" applyNumberFormat="1" applyBorder="1"/>
    <xf numFmtId="165" fontId="0" fillId="0" borderId="37" xfId="0" applyNumberFormat="1" applyBorder="1"/>
    <xf numFmtId="165" fontId="0" fillId="0" borderId="47" xfId="0" applyNumberFormat="1" applyBorder="1"/>
    <xf numFmtId="0" fontId="5" fillId="22" borderId="23" xfId="0" applyFont="1" applyFill="1" applyBorder="1" applyAlignment="1">
      <alignment horizontal="center" vertical="center"/>
    </xf>
    <xf numFmtId="165" fontId="0" fillId="22" borderId="12" xfId="0" applyNumberFormat="1" applyFill="1" applyBorder="1"/>
    <xf numFmtId="165" fontId="0" fillId="22" borderId="41" xfId="0" applyNumberFormat="1" applyFill="1" applyBorder="1"/>
    <xf numFmtId="165" fontId="0" fillId="22" borderId="9" xfId="1" applyNumberFormat="1" applyFont="1" applyFill="1" applyBorder="1" applyAlignment="1">
      <alignment horizontal="right" vertical="center"/>
    </xf>
    <xf numFmtId="0" fontId="5" fillId="16" borderId="23" xfId="0" applyFont="1" applyFill="1" applyBorder="1" applyAlignment="1">
      <alignment horizontal="center" vertical="center"/>
    </xf>
    <xf numFmtId="165" fontId="0" fillId="16" borderId="24" xfId="0" applyNumberFormat="1" applyFill="1" applyBorder="1"/>
    <xf numFmtId="165" fontId="0" fillId="16" borderId="12" xfId="0" applyNumberFormat="1" applyFill="1" applyBorder="1"/>
    <xf numFmtId="165" fontId="0" fillId="5" borderId="24" xfId="0" applyNumberFormat="1" applyFill="1" applyBorder="1"/>
    <xf numFmtId="165" fontId="0" fillId="5" borderId="12" xfId="0" applyNumberFormat="1" applyFill="1" applyBorder="1"/>
    <xf numFmtId="165" fontId="0" fillId="0" borderId="15" xfId="0" applyNumberFormat="1" applyBorder="1"/>
    <xf numFmtId="165" fontId="0" fillId="16" borderId="15" xfId="0" applyNumberFormat="1" applyFill="1" applyBorder="1"/>
    <xf numFmtId="165" fontId="0" fillId="5" borderId="15" xfId="0" applyNumberFormat="1" applyFill="1" applyBorder="1"/>
    <xf numFmtId="0" fontId="0" fillId="0" borderId="12" xfId="0" applyBorder="1" applyAlignment="1">
      <alignment horizontal="left" vertical="center" indent="1"/>
    </xf>
    <xf numFmtId="165" fontId="0" fillId="0" borderId="20" xfId="0" applyNumberFormat="1" applyBorder="1"/>
    <xf numFmtId="165" fontId="0" fillId="0" borderId="38" xfId="0" applyNumberFormat="1" applyBorder="1"/>
    <xf numFmtId="0" fontId="5" fillId="5" borderId="6" xfId="0" applyFont="1" applyFill="1" applyBorder="1" applyAlignment="1">
      <alignment horizontal="center" vertical="center"/>
    </xf>
    <xf numFmtId="165" fontId="3" fillId="22" borderId="23" xfId="0" applyNumberFormat="1" applyFont="1" applyFill="1" applyBorder="1"/>
    <xf numFmtId="165" fontId="3" fillId="16" borderId="23" xfId="0" applyNumberFormat="1" applyFont="1" applyFill="1" applyBorder="1"/>
    <xf numFmtId="165" fontId="3" fillId="5" borderId="23" xfId="0" applyNumberFormat="1" applyFont="1" applyFill="1" applyBorder="1"/>
    <xf numFmtId="0" fontId="5" fillId="0" borderId="0" xfId="0" applyFont="1" applyAlignment="1">
      <alignment horizontal="center"/>
    </xf>
    <xf numFmtId="0" fontId="0" fillId="0" borderId="9" xfId="0" applyBorder="1" applyAlignment="1">
      <alignment horizontal="left" vertical="center" indent="1"/>
    </xf>
    <xf numFmtId="0" fontId="0" fillId="0" borderId="0" xfId="0" applyAlignment="1">
      <alignment vertical="center"/>
    </xf>
    <xf numFmtId="165" fontId="34" fillId="0" borderId="28" xfId="1" applyNumberFormat="1" applyFont="1" applyFill="1" applyBorder="1"/>
    <xf numFmtId="165" fontId="34" fillId="0" borderId="1" xfId="1" applyNumberFormat="1" applyFont="1" applyFill="1" applyBorder="1"/>
    <xf numFmtId="0" fontId="3" fillId="18" borderId="2" xfId="0" applyFont="1" applyFill="1" applyBorder="1" applyAlignment="1">
      <alignment horizontal="center" vertical="center"/>
    </xf>
    <xf numFmtId="165" fontId="3" fillId="18" borderId="47" xfId="0" applyNumberFormat="1" applyFont="1" applyFill="1" applyBorder="1"/>
    <xf numFmtId="0" fontId="3" fillId="18" borderId="3" xfId="0" applyFont="1" applyFill="1" applyBorder="1"/>
    <xf numFmtId="165" fontId="0" fillId="18" borderId="0" xfId="0" applyNumberFormat="1" applyFill="1"/>
    <xf numFmtId="0" fontId="0" fillId="18" borderId="0" xfId="0" applyFill="1"/>
    <xf numFmtId="165" fontId="3" fillId="18" borderId="45" xfId="0" applyNumberFormat="1" applyFont="1" applyFill="1" applyBorder="1"/>
    <xf numFmtId="44" fontId="0" fillId="0" borderId="1" xfId="1" applyFont="1" applyBorder="1"/>
    <xf numFmtId="44" fontId="3" fillId="0" borderId="23" xfId="0" applyNumberFormat="1" applyFont="1" applyBorder="1"/>
    <xf numFmtId="0" fontId="3" fillId="5" borderId="2" xfId="0" applyFont="1" applyFill="1" applyBorder="1" applyAlignment="1">
      <alignment horizontal="center" vertical="center"/>
    </xf>
    <xf numFmtId="165" fontId="3" fillId="5" borderId="47" xfId="0" applyNumberFormat="1" applyFont="1" applyFill="1" applyBorder="1"/>
    <xf numFmtId="0" fontId="3" fillId="5" borderId="3" xfId="0" applyFont="1" applyFill="1" applyBorder="1"/>
    <xf numFmtId="44" fontId="3" fillId="0" borderId="0" xfId="0" applyNumberFormat="1" applyFont="1"/>
    <xf numFmtId="165" fontId="0" fillId="5" borderId="0" xfId="0" applyNumberFormat="1" applyFill="1"/>
    <xf numFmtId="44" fontId="0" fillId="0" borderId="0" xfId="0" applyNumberFormat="1"/>
    <xf numFmtId="165" fontId="3" fillId="5" borderId="0" xfId="0" applyNumberFormat="1" applyFont="1" applyFill="1"/>
    <xf numFmtId="0" fontId="3" fillId="5" borderId="0" xfId="0" applyFont="1" applyFill="1"/>
    <xf numFmtId="44" fontId="3" fillId="0" borderId="0" xfId="1" applyFont="1"/>
    <xf numFmtId="0" fontId="35" fillId="23" borderId="1" xfId="0" applyFont="1" applyFill="1" applyBorder="1" applyAlignment="1">
      <alignment horizontal="center" vertical="center" wrapText="1"/>
    </xf>
    <xf numFmtId="0" fontId="0" fillId="23" borderId="1" xfId="0" applyFill="1" applyBorder="1" applyAlignment="1">
      <alignment horizontal="center"/>
    </xf>
    <xf numFmtId="0" fontId="0" fillId="23" borderId="1" xfId="0" applyFill="1" applyBorder="1" applyAlignment="1">
      <alignment horizontal="center" vertical="center"/>
    </xf>
    <xf numFmtId="44" fontId="35" fillId="23" borderId="1" xfId="1" applyFont="1" applyFill="1" applyBorder="1"/>
    <xf numFmtId="0" fontId="0" fillId="23" borderId="1" xfId="0" applyFill="1" applyBorder="1"/>
    <xf numFmtId="44" fontId="0" fillId="23" borderId="1" xfId="1" applyFont="1" applyFill="1" applyBorder="1"/>
    <xf numFmtId="0" fontId="0" fillId="0" borderId="45" xfId="0" applyBorder="1"/>
    <xf numFmtId="0" fontId="0" fillId="0" borderId="59" xfId="0" applyBorder="1" applyAlignment="1">
      <alignment horizontal="left" vertical="center"/>
    </xf>
    <xf numFmtId="0" fontId="0" fillId="0" borderId="59" xfId="0" applyBorder="1"/>
    <xf numFmtId="0" fontId="38" fillId="6" borderId="6" xfId="0" applyFont="1" applyFill="1" applyBorder="1" applyAlignment="1">
      <alignment horizontal="left"/>
    </xf>
    <xf numFmtId="0" fontId="38" fillId="6" borderId="45" xfId="0" applyFont="1" applyFill="1" applyBorder="1" applyAlignment="1">
      <alignment horizontal="left"/>
    </xf>
    <xf numFmtId="0" fontId="27" fillId="8" borderId="23" xfId="0" applyFont="1" applyFill="1" applyBorder="1" applyAlignment="1">
      <alignment horizontal="center" vertical="center" wrapText="1"/>
    </xf>
    <xf numFmtId="0" fontId="11" fillId="0" borderId="12" xfId="0" applyFont="1" applyBorder="1" applyAlignment="1">
      <alignment horizontal="left" vertical="center" indent="1"/>
    </xf>
    <xf numFmtId="49" fontId="0" fillId="0" borderId="0" xfId="0" applyNumberFormat="1" applyAlignment="1">
      <alignment horizontal="center" vertical="center"/>
    </xf>
    <xf numFmtId="0" fontId="0" fillId="0" borderId="28" xfId="0" applyBorder="1"/>
    <xf numFmtId="0" fontId="0" fillId="0" borderId="37" xfId="0" applyBorder="1"/>
    <xf numFmtId="0" fontId="27" fillId="6" borderId="5" xfId="0" applyFont="1" applyFill="1" applyBorder="1" applyAlignment="1">
      <alignment horizontal="center" vertical="center"/>
    </xf>
    <xf numFmtId="0" fontId="27" fillId="25" borderId="44" xfId="0" applyFont="1" applyFill="1" applyBorder="1" applyAlignment="1">
      <alignment horizontal="center" vertical="center"/>
    </xf>
    <xf numFmtId="0" fontId="27" fillId="25" borderId="23" xfId="0" applyFont="1" applyFill="1" applyBorder="1" applyAlignment="1">
      <alignment horizontal="center" vertical="center"/>
    </xf>
    <xf numFmtId="0" fontId="27" fillId="15" borderId="23" xfId="0" applyFont="1" applyFill="1" applyBorder="1" applyAlignment="1">
      <alignment horizontal="center" vertical="center"/>
    </xf>
    <xf numFmtId="165" fontId="0" fillId="0" borderId="28" xfId="0" applyNumberFormat="1" applyBorder="1"/>
    <xf numFmtId="165" fontId="0" fillId="0" borderId="1" xfId="0" applyNumberFormat="1" applyBorder="1"/>
    <xf numFmtId="0" fontId="3" fillId="0" borderId="20" xfId="0" applyFont="1" applyBorder="1" applyAlignment="1">
      <alignment horizontal="center" vertical="center"/>
    </xf>
    <xf numFmtId="0" fontId="3" fillId="0" borderId="38" xfId="0" applyFont="1" applyBorder="1" applyAlignment="1">
      <alignment horizontal="center" vertical="center"/>
    </xf>
    <xf numFmtId="0" fontId="27" fillId="8" borderId="6" xfId="0" applyFont="1" applyFill="1" applyBorder="1" applyAlignment="1">
      <alignment horizontal="center" vertical="center"/>
    </xf>
    <xf numFmtId="0" fontId="27" fillId="15" borderId="2" xfId="0" applyFont="1" applyFill="1" applyBorder="1" applyAlignment="1">
      <alignment horizontal="center" vertical="center"/>
    </xf>
    <xf numFmtId="0" fontId="27" fillId="15" borderId="47" xfId="0" applyFont="1" applyFill="1" applyBorder="1" applyAlignment="1">
      <alignment horizontal="center" vertical="center"/>
    </xf>
    <xf numFmtId="0" fontId="27" fillId="15" borderId="47" xfId="0" applyFont="1" applyFill="1" applyBorder="1"/>
    <xf numFmtId="0" fontId="0" fillId="24" borderId="58" xfId="0" applyFill="1" applyBorder="1"/>
    <xf numFmtId="0" fontId="0" fillId="24" borderId="37" xfId="0" applyFill="1" applyBorder="1"/>
    <xf numFmtId="165" fontId="0" fillId="0" borderId="7" xfId="0" applyNumberFormat="1" applyBorder="1"/>
    <xf numFmtId="165" fontId="0" fillId="0" borderId="16" xfId="0" applyNumberFormat="1" applyBorder="1"/>
    <xf numFmtId="165" fontId="0" fillId="0" borderId="62" xfId="0" applyNumberFormat="1" applyBorder="1"/>
    <xf numFmtId="165" fontId="0" fillId="0" borderId="10" xfId="0" applyNumberFormat="1" applyBorder="1"/>
    <xf numFmtId="165" fontId="0" fillId="0" borderId="63" xfId="0" applyNumberFormat="1" applyBorder="1"/>
    <xf numFmtId="165" fontId="0" fillId="0" borderId="13" xfId="0" applyNumberFormat="1" applyBorder="1"/>
    <xf numFmtId="165" fontId="0" fillId="0" borderId="43" xfId="0" applyNumberFormat="1" applyBorder="1"/>
    <xf numFmtId="165" fontId="0" fillId="0" borderId="64" xfId="0" applyNumberFormat="1" applyBorder="1"/>
    <xf numFmtId="0" fontId="27" fillId="11" borderId="65" xfId="0" applyFont="1" applyFill="1" applyBorder="1" applyAlignment="1">
      <alignment horizontal="center" vertical="center"/>
    </xf>
    <xf numFmtId="0" fontId="27" fillId="11" borderId="0" xfId="0" applyFont="1" applyFill="1" applyAlignment="1">
      <alignment horizontal="center" vertical="center"/>
    </xf>
    <xf numFmtId="165" fontId="0" fillId="0" borderId="66" xfId="0" applyNumberFormat="1" applyBorder="1"/>
    <xf numFmtId="165" fontId="0" fillId="0" borderId="67" xfId="0" applyNumberFormat="1" applyBorder="1"/>
    <xf numFmtId="165" fontId="0" fillId="22" borderId="29" xfId="0" applyNumberFormat="1" applyFill="1" applyBorder="1"/>
    <xf numFmtId="165" fontId="0" fillId="22" borderId="20" xfId="0" applyNumberFormat="1" applyFill="1" applyBorder="1"/>
    <xf numFmtId="165" fontId="0" fillId="22" borderId="38" xfId="0" applyNumberFormat="1" applyFill="1" applyBorder="1"/>
    <xf numFmtId="165" fontId="0" fillId="22" borderId="49" xfId="0" applyNumberFormat="1" applyFill="1" applyBorder="1"/>
    <xf numFmtId="165" fontId="0" fillId="22" borderId="50" xfId="0" applyNumberFormat="1" applyFill="1" applyBorder="1"/>
    <xf numFmtId="165" fontId="0" fillId="22" borderId="52" xfId="0" applyNumberFormat="1" applyFill="1" applyBorder="1"/>
    <xf numFmtId="165" fontId="0" fillId="22" borderId="9" xfId="0" applyNumberFormat="1" applyFill="1" applyBorder="1"/>
    <xf numFmtId="165" fontId="0" fillId="22" borderId="15" xfId="0" applyNumberFormat="1" applyFill="1" applyBorder="1"/>
    <xf numFmtId="165" fontId="0" fillId="27" borderId="9" xfId="0" applyNumberFormat="1" applyFill="1" applyBorder="1"/>
    <xf numFmtId="165" fontId="0" fillId="27" borderId="12" xfId="0" applyNumberFormat="1" applyFill="1" applyBorder="1"/>
    <xf numFmtId="165" fontId="0" fillId="27" borderId="15" xfId="0" applyNumberFormat="1" applyFill="1" applyBorder="1"/>
    <xf numFmtId="0" fontId="3" fillId="25" borderId="23" xfId="0" applyFont="1" applyFill="1" applyBorder="1" applyAlignment="1">
      <alignment horizontal="center" vertical="center"/>
    </xf>
    <xf numFmtId="0" fontId="0" fillId="26" borderId="6" xfId="0" applyFill="1" applyBorder="1"/>
    <xf numFmtId="0" fontId="0" fillId="26" borderId="4" xfId="0" applyFill="1" applyBorder="1"/>
    <xf numFmtId="0" fontId="0" fillId="26" borderId="12" xfId="0" applyFill="1" applyBorder="1"/>
    <xf numFmtId="0" fontId="0" fillId="26" borderId="15" xfId="0" applyFill="1" applyBorder="1"/>
    <xf numFmtId="0" fontId="40" fillId="0" borderId="29" xfId="0" applyFont="1" applyBorder="1" applyAlignment="1">
      <alignment horizontal="right" vertical="center"/>
    </xf>
    <xf numFmtId="0" fontId="40" fillId="0" borderId="20" xfId="0" applyFont="1" applyBorder="1" applyAlignment="1">
      <alignment horizontal="right" vertical="center"/>
    </xf>
    <xf numFmtId="0" fontId="36" fillId="0" borderId="0" xfId="0" applyFont="1" applyAlignment="1">
      <alignment horizontal="right" vertical="center"/>
    </xf>
    <xf numFmtId="9" fontId="0" fillId="0" borderId="0" xfId="0" applyNumberFormat="1" applyAlignment="1">
      <alignment vertical="center"/>
    </xf>
    <xf numFmtId="0" fontId="27" fillId="11" borderId="6" xfId="0" applyFont="1" applyFill="1" applyBorder="1" applyAlignment="1">
      <alignment horizontal="center" vertical="center"/>
    </xf>
    <xf numFmtId="0" fontId="3" fillId="22" borderId="45" xfId="0" applyFont="1" applyFill="1" applyBorder="1" applyAlignment="1">
      <alignment horizontal="center" vertical="center"/>
    </xf>
    <xf numFmtId="0" fontId="39" fillId="22" borderId="6" xfId="0" applyFont="1" applyFill="1" applyBorder="1" applyAlignment="1">
      <alignment horizontal="center" vertical="center"/>
    </xf>
    <xf numFmtId="0" fontId="39" fillId="22" borderId="17" xfId="0" applyFont="1" applyFill="1" applyBorder="1" applyAlignment="1">
      <alignment horizontal="center" vertical="center"/>
    </xf>
    <xf numFmtId="0" fontId="36" fillId="26" borderId="41" xfId="0" applyFont="1" applyFill="1" applyBorder="1" applyAlignment="1">
      <alignment horizontal="center" vertical="center"/>
    </xf>
    <xf numFmtId="165" fontId="0" fillId="22" borderId="40" xfId="0" applyNumberFormat="1" applyFill="1" applyBorder="1"/>
    <xf numFmtId="165" fontId="0" fillId="27" borderId="24" xfId="0" applyNumberFormat="1" applyFill="1" applyBorder="1"/>
    <xf numFmtId="165" fontId="0" fillId="22" borderId="56" xfId="0" applyNumberFormat="1" applyFill="1" applyBorder="1"/>
    <xf numFmtId="165" fontId="0" fillId="22" borderId="24" xfId="0" applyNumberFormat="1" applyFill="1" applyBorder="1"/>
    <xf numFmtId="0" fontId="0" fillId="26" borderId="24" xfId="0" applyFill="1" applyBorder="1"/>
    <xf numFmtId="0" fontId="0" fillId="24" borderId="36" xfId="0" applyFill="1" applyBorder="1"/>
    <xf numFmtId="0" fontId="0" fillId="26" borderId="9" xfId="0" applyFill="1" applyBorder="1"/>
    <xf numFmtId="0" fontId="40" fillId="0" borderId="38" xfId="0" applyFont="1" applyBorder="1" applyAlignment="1">
      <alignment horizontal="right" vertical="center"/>
    </xf>
    <xf numFmtId="0" fontId="0" fillId="24" borderId="39" xfId="0" applyFill="1" applyBorder="1"/>
    <xf numFmtId="0" fontId="3" fillId="0" borderId="40" xfId="0" applyFont="1" applyBorder="1" applyAlignment="1">
      <alignment horizontal="center" vertical="center"/>
    </xf>
    <xf numFmtId="165" fontId="6" fillId="29" borderId="16" xfId="0" applyNumberFormat="1" applyFont="1" applyFill="1" applyBorder="1" applyAlignment="1">
      <alignment horizontal="center" vertical="center"/>
    </xf>
    <xf numFmtId="165" fontId="0" fillId="30" borderId="7" xfId="0" applyNumberFormat="1" applyFill="1" applyBorder="1"/>
    <xf numFmtId="165" fontId="0" fillId="30" borderId="16" xfId="0" applyNumberFormat="1" applyFill="1" applyBorder="1"/>
    <xf numFmtId="165" fontId="0" fillId="30" borderId="62" xfId="0" applyNumberFormat="1" applyFill="1" applyBorder="1"/>
    <xf numFmtId="165" fontId="0" fillId="30" borderId="10" xfId="0" applyNumberFormat="1" applyFill="1" applyBorder="1"/>
    <xf numFmtId="165" fontId="0" fillId="30" borderId="1" xfId="0" applyNumberFormat="1" applyFill="1" applyBorder="1"/>
    <xf numFmtId="165" fontId="0" fillId="30" borderId="63" xfId="0" applyNumberFormat="1" applyFill="1" applyBorder="1"/>
    <xf numFmtId="165" fontId="0" fillId="30" borderId="13" xfId="0" applyNumberFormat="1" applyFill="1" applyBorder="1"/>
    <xf numFmtId="165" fontId="0" fillId="30" borderId="43" xfId="0" applyNumberFormat="1" applyFill="1" applyBorder="1"/>
    <xf numFmtId="165" fontId="0" fillId="30" borderId="64" xfId="0" applyNumberFormat="1" applyFill="1" applyBorder="1"/>
    <xf numFmtId="0" fontId="0" fillId="0" borderId="1" xfId="0" applyBorder="1" applyAlignment="1">
      <alignment vertical="center"/>
    </xf>
    <xf numFmtId="0" fontId="4" fillId="0" borderId="1" xfId="0" applyFont="1" applyBorder="1" applyAlignment="1">
      <alignment horizontal="left" vertical="center"/>
    </xf>
    <xf numFmtId="0" fontId="44" fillId="0" borderId="1" xfId="0" applyFont="1" applyBorder="1" applyAlignment="1">
      <alignment vertical="center"/>
    </xf>
    <xf numFmtId="0" fontId="47" fillId="0" borderId="0" xfId="0" applyFont="1" applyAlignment="1">
      <alignment horizontal="center" vertical="top"/>
    </xf>
    <xf numFmtId="0" fontId="0" fillId="0" borderId="28" xfId="0" applyBorder="1" applyAlignment="1">
      <alignment vertical="center"/>
    </xf>
    <xf numFmtId="0" fontId="1" fillId="0" borderId="37" xfId="0" applyFont="1" applyBorder="1"/>
    <xf numFmtId="0" fontId="0" fillId="18" borderId="9" xfId="0" applyFill="1" applyBorder="1" applyAlignment="1">
      <alignment horizontal="center" vertical="center"/>
    </xf>
    <xf numFmtId="0" fontId="0" fillId="31" borderId="12" xfId="0" applyFill="1" applyBorder="1" applyAlignment="1">
      <alignment horizontal="center" vertical="center"/>
    </xf>
    <xf numFmtId="0" fontId="43" fillId="18" borderId="12" xfId="0" applyFont="1" applyFill="1" applyBorder="1" applyAlignment="1">
      <alignment horizontal="center" vertical="center"/>
    </xf>
    <xf numFmtId="0" fontId="0" fillId="9" borderId="12" xfId="0" applyFill="1" applyBorder="1" applyAlignment="1">
      <alignment horizontal="center" vertical="center"/>
    </xf>
    <xf numFmtId="0" fontId="0" fillId="9" borderId="15" xfId="0" applyFill="1" applyBorder="1" applyAlignment="1">
      <alignment horizontal="center" vertical="center"/>
    </xf>
    <xf numFmtId="0" fontId="0" fillId="9" borderId="24" xfId="0" applyFill="1" applyBorder="1" applyAlignment="1">
      <alignment horizontal="center" vertical="center"/>
    </xf>
    <xf numFmtId="0" fontId="4" fillId="0" borderId="28" xfId="0" applyFont="1" applyBorder="1" applyAlignment="1">
      <alignment horizontal="left" vertical="center"/>
    </xf>
    <xf numFmtId="0" fontId="0" fillId="0" borderId="55" xfId="0" applyBorder="1"/>
    <xf numFmtId="0" fontId="44" fillId="0" borderId="28" xfId="0" applyFont="1" applyBorder="1" applyAlignment="1">
      <alignment vertical="center"/>
    </xf>
    <xf numFmtId="0" fontId="37" fillId="0" borderId="29" xfId="0" applyFont="1" applyBorder="1" applyAlignment="1">
      <alignment horizontal="left" vertical="center"/>
    </xf>
    <xf numFmtId="0" fontId="37" fillId="0" borderId="40" xfId="0" applyFont="1" applyBorder="1" applyAlignment="1">
      <alignment horizontal="left" vertical="center"/>
    </xf>
    <xf numFmtId="0" fontId="37" fillId="28" borderId="20" xfId="0" applyFont="1" applyFill="1" applyBorder="1" applyAlignment="1">
      <alignment horizontal="left" vertical="center"/>
    </xf>
    <xf numFmtId="0" fontId="37" fillId="0" borderId="20" xfId="0" applyFont="1" applyBorder="1" applyAlignment="1">
      <alignment horizontal="left" vertical="center"/>
    </xf>
    <xf numFmtId="0" fontId="0" fillId="0" borderId="56" xfId="0" applyBorder="1"/>
    <xf numFmtId="0" fontId="0" fillId="0" borderId="56" xfId="0" applyBorder="1" applyAlignment="1">
      <alignment vertical="center"/>
    </xf>
    <xf numFmtId="0" fontId="0" fillId="7" borderId="9" xfId="0" applyFill="1" applyBorder="1" applyAlignment="1">
      <alignment horizontal="left" vertical="center"/>
    </xf>
    <xf numFmtId="0" fontId="0" fillId="15" borderId="12" xfId="0" applyFill="1" applyBorder="1" applyAlignment="1">
      <alignment horizontal="left" vertical="center"/>
    </xf>
    <xf numFmtId="0" fontId="0" fillId="31" borderId="12" xfId="0" applyFill="1" applyBorder="1" applyAlignment="1">
      <alignment horizontal="left" vertical="center"/>
    </xf>
    <xf numFmtId="0" fontId="0" fillId="27" borderId="12" xfId="0" applyFill="1" applyBorder="1" applyAlignment="1">
      <alignment horizontal="left" vertical="center"/>
    </xf>
    <xf numFmtId="0" fontId="0" fillId="33" borderId="12" xfId="0" applyFill="1" applyBorder="1" applyAlignment="1">
      <alignment horizontal="left" vertical="center"/>
    </xf>
    <xf numFmtId="0" fontId="0" fillId="33" borderId="15" xfId="0" applyFill="1" applyBorder="1" applyAlignment="1">
      <alignment horizontal="left" vertical="center"/>
    </xf>
    <xf numFmtId="0" fontId="0" fillId="0" borderId="12" xfId="0" applyBorder="1" applyAlignment="1">
      <alignment horizontal="left" vertical="center" wrapText="1"/>
    </xf>
    <xf numFmtId="0" fontId="43" fillId="18" borderId="41" xfId="0" applyFont="1" applyFill="1" applyBorder="1" applyAlignment="1">
      <alignment horizontal="center" vertical="center"/>
    </xf>
    <xf numFmtId="0" fontId="37" fillId="0" borderId="68" xfId="0" applyFont="1" applyBorder="1" applyAlignment="1">
      <alignment horizontal="left" vertical="center"/>
    </xf>
    <xf numFmtId="0" fontId="42" fillId="34" borderId="23" xfId="0" applyFont="1" applyFill="1" applyBorder="1" applyAlignment="1">
      <alignment horizontal="center" vertical="center"/>
    </xf>
    <xf numFmtId="0" fontId="3" fillId="34" borderId="23" xfId="0" applyFont="1" applyFill="1" applyBorder="1" applyAlignment="1">
      <alignment horizontal="center" vertical="center"/>
    </xf>
    <xf numFmtId="0" fontId="21" fillId="0" borderId="12" xfId="0" applyFont="1" applyBorder="1" applyAlignment="1">
      <alignment horizontal="left" vertical="center" wrapText="1"/>
    </xf>
    <xf numFmtId="0" fontId="42" fillId="34" borderId="61" xfId="0" applyFont="1" applyFill="1" applyBorder="1" applyAlignment="1">
      <alignment horizontal="center" vertical="center"/>
    </xf>
    <xf numFmtId="0" fontId="42" fillId="34" borderId="25" xfId="0" applyFont="1" applyFill="1" applyBorder="1" applyAlignment="1">
      <alignment vertical="center"/>
    </xf>
    <xf numFmtId="0" fontId="32" fillId="0" borderId="0" xfId="0" applyFont="1" applyAlignment="1">
      <alignment vertical="center"/>
    </xf>
    <xf numFmtId="0" fontId="0" fillId="0" borderId="44" xfId="0" applyBorder="1" applyAlignment="1">
      <alignment vertical="center"/>
    </xf>
    <xf numFmtId="0" fontId="0" fillId="0" borderId="22" xfId="0" applyBorder="1" applyAlignment="1">
      <alignment vertical="center"/>
    </xf>
    <xf numFmtId="0" fontId="0" fillId="6" borderId="23" xfId="0" applyFill="1" applyBorder="1" applyAlignment="1">
      <alignment vertical="center"/>
    </xf>
    <xf numFmtId="0" fontId="0" fillId="7" borderId="23" xfId="0" applyFill="1" applyBorder="1" applyAlignment="1">
      <alignment vertical="center"/>
    </xf>
    <xf numFmtId="0" fontId="5" fillId="8" borderId="23" xfId="0" applyFont="1" applyFill="1" applyBorder="1" applyAlignment="1">
      <alignment vertical="center" wrapText="1"/>
    </xf>
    <xf numFmtId="0" fontId="5" fillId="4" borderId="3" xfId="0" applyFont="1" applyFill="1" applyBorder="1" applyAlignment="1">
      <alignment vertical="center" wrapText="1"/>
    </xf>
    <xf numFmtId="0" fontId="5" fillId="20" borderId="2" xfId="0" applyFont="1" applyFill="1" applyBorder="1" applyAlignment="1">
      <alignment vertical="center" wrapText="1"/>
    </xf>
    <xf numFmtId="0" fontId="27" fillId="20" borderId="23" xfId="0" applyFont="1" applyFill="1" applyBorder="1" applyAlignment="1">
      <alignment vertical="center" wrapText="1"/>
    </xf>
    <xf numFmtId="0" fontId="5" fillId="20" borderId="3" xfId="0" applyFont="1" applyFill="1" applyBorder="1" applyAlignment="1">
      <alignment vertical="center" wrapText="1"/>
    </xf>
    <xf numFmtId="0" fontId="0" fillId="18" borderId="9" xfId="0" applyFill="1" applyBorder="1" applyAlignment="1">
      <alignment vertical="center"/>
    </xf>
    <xf numFmtId="0" fontId="27" fillId="18" borderId="23" xfId="0" applyFont="1" applyFill="1" applyBorder="1" applyAlignment="1">
      <alignment vertical="center"/>
    </xf>
    <xf numFmtId="0" fontId="3" fillId="16" borderId="29" xfId="0" applyFont="1" applyFill="1" applyBorder="1" applyAlignment="1">
      <alignment vertical="center" wrapText="1"/>
    </xf>
    <xf numFmtId="0" fontId="0" fillId="16" borderId="49" xfId="0" applyFill="1" applyBorder="1" applyAlignment="1">
      <alignment vertical="center" wrapText="1"/>
    </xf>
    <xf numFmtId="0" fontId="31" fillId="0" borderId="0" xfId="0" applyFont="1" applyAlignment="1">
      <alignment vertical="center"/>
    </xf>
    <xf numFmtId="0" fontId="25" fillId="15" borderId="23" xfId="0" applyFont="1" applyFill="1" applyBorder="1" applyAlignment="1">
      <alignment vertical="center" wrapText="1"/>
    </xf>
    <xf numFmtId="0" fontId="25" fillId="15" borderId="2" xfId="0" applyFont="1" applyFill="1" applyBorder="1" applyAlignment="1">
      <alignment vertical="center"/>
    </xf>
    <xf numFmtId="0" fontId="24" fillId="15" borderId="23" xfId="0" applyFont="1" applyFill="1" applyBorder="1" applyAlignment="1">
      <alignment vertical="center" wrapText="1"/>
    </xf>
    <xf numFmtId="0" fontId="2" fillId="18" borderId="12" xfId="0" applyFont="1" applyFill="1" applyBorder="1" applyAlignment="1">
      <alignment vertical="center"/>
    </xf>
    <xf numFmtId="0" fontId="2" fillId="18" borderId="56" xfId="0" applyFont="1" applyFill="1" applyBorder="1" applyAlignment="1">
      <alignment vertical="center"/>
    </xf>
    <xf numFmtId="0" fontId="3" fillId="16" borderId="20" xfId="0" applyFont="1" applyFill="1" applyBorder="1" applyAlignment="1">
      <alignment vertical="center" wrapText="1"/>
    </xf>
    <xf numFmtId="0" fontId="0" fillId="16" borderId="50" xfId="0" applyFill="1" applyBorder="1" applyAlignment="1">
      <alignment vertical="center" wrapText="1"/>
    </xf>
    <xf numFmtId="0" fontId="4" fillId="8" borderId="9" xfId="0" applyFont="1" applyFill="1" applyBorder="1" applyAlignment="1">
      <alignment vertical="center"/>
    </xf>
    <xf numFmtId="0" fontId="21" fillId="8" borderId="9" xfId="0" applyFont="1" applyFill="1" applyBorder="1" applyAlignment="1">
      <alignment vertical="center"/>
    </xf>
    <xf numFmtId="0" fontId="0" fillId="18" borderId="12" xfId="0" applyFill="1" applyBorder="1" applyAlignment="1">
      <alignment vertical="center"/>
    </xf>
    <xf numFmtId="0" fontId="0" fillId="18" borderId="50" xfId="0" applyFill="1" applyBorder="1" applyAlignment="1">
      <alignment vertical="center"/>
    </xf>
    <xf numFmtId="0" fontId="4" fillId="8" borderId="12" xfId="0" applyFont="1" applyFill="1" applyBorder="1" applyAlignment="1">
      <alignment vertical="center"/>
    </xf>
    <xf numFmtId="0" fontId="21" fillId="8" borderId="12" xfId="0" applyFont="1" applyFill="1" applyBorder="1" applyAlignment="1">
      <alignment vertical="center"/>
    </xf>
    <xf numFmtId="0" fontId="4" fillId="18" borderId="50" xfId="0" applyFont="1" applyFill="1" applyBorder="1" applyAlignment="1">
      <alignment vertical="center"/>
    </xf>
    <xf numFmtId="0" fontId="12" fillId="8" borderId="12" xfId="0" applyFont="1" applyFill="1" applyBorder="1" applyAlignment="1">
      <alignment vertical="center"/>
    </xf>
    <xf numFmtId="0" fontId="2" fillId="8" borderId="12" xfId="0" applyFont="1" applyFill="1" applyBorder="1" applyAlignment="1">
      <alignment vertical="center"/>
    </xf>
    <xf numFmtId="0" fontId="28" fillId="8" borderId="12" xfId="0" applyFont="1" applyFill="1" applyBorder="1" applyAlignment="1">
      <alignment vertical="center"/>
    </xf>
    <xf numFmtId="0" fontId="29" fillId="8" borderId="12" xfId="0" applyFont="1" applyFill="1" applyBorder="1" applyAlignment="1">
      <alignment vertical="center"/>
    </xf>
    <xf numFmtId="0" fontId="0" fillId="18" borderId="15" xfId="0" applyFill="1" applyBorder="1" applyAlignment="1">
      <alignment vertical="center"/>
    </xf>
    <xf numFmtId="0" fontId="0" fillId="18" borderId="52" xfId="0" applyFill="1" applyBorder="1" applyAlignment="1">
      <alignment vertical="center"/>
    </xf>
    <xf numFmtId="0" fontId="0" fillId="7" borderId="24" xfId="0" applyFill="1" applyBorder="1" applyAlignment="1">
      <alignment vertical="center"/>
    </xf>
    <xf numFmtId="0" fontId="27" fillId="7" borderId="23" xfId="0" applyFont="1" applyFill="1" applyBorder="1" applyAlignment="1">
      <alignment vertical="center"/>
    </xf>
    <xf numFmtId="0" fontId="2" fillId="7" borderId="12" xfId="0" applyFont="1" applyFill="1" applyBorder="1" applyAlignment="1">
      <alignment vertical="center"/>
    </xf>
    <xf numFmtId="0" fontId="2" fillId="7" borderId="9" xfId="0" applyFont="1" applyFill="1" applyBorder="1" applyAlignment="1">
      <alignment vertical="center"/>
    </xf>
    <xf numFmtId="0" fontId="4" fillId="7" borderId="12" xfId="0" applyFont="1" applyFill="1" applyBorder="1" applyAlignment="1">
      <alignment vertical="center"/>
    </xf>
    <xf numFmtId="0" fontId="0" fillId="7" borderId="12" xfId="0" applyFill="1" applyBorder="1" applyAlignment="1">
      <alignment vertical="center"/>
    </xf>
    <xf numFmtId="0" fontId="4" fillId="7" borderId="15" xfId="0" applyFont="1" applyFill="1" applyBorder="1" applyAlignment="1">
      <alignment vertical="center"/>
    </xf>
    <xf numFmtId="0" fontId="11" fillId="7" borderId="15" xfId="0" applyFont="1" applyFill="1" applyBorder="1" applyAlignment="1">
      <alignment vertical="center"/>
    </xf>
    <xf numFmtId="0" fontId="4" fillId="0" borderId="0" xfId="0" applyFont="1" applyAlignment="1">
      <alignment vertical="center"/>
    </xf>
    <xf numFmtId="0" fontId="3" fillId="16" borderId="38" xfId="0" applyFont="1" applyFill="1" applyBorder="1" applyAlignment="1">
      <alignment vertical="center" wrapText="1"/>
    </xf>
    <xf numFmtId="0" fontId="0" fillId="16" borderId="52" xfId="0" applyFill="1" applyBorder="1" applyAlignment="1">
      <alignment vertical="center" wrapText="1"/>
    </xf>
    <xf numFmtId="0" fontId="3" fillId="5" borderId="57" xfId="0" applyFont="1" applyFill="1" applyBorder="1" applyAlignment="1">
      <alignment vertical="center" wrapText="1"/>
    </xf>
    <xf numFmtId="0" fontId="0" fillId="5" borderId="55" xfId="0" applyFill="1" applyBorder="1" applyAlignment="1">
      <alignment vertical="center" wrapText="1"/>
    </xf>
    <xf numFmtId="0" fontId="3" fillId="5" borderId="11" xfId="0" applyFont="1" applyFill="1" applyBorder="1" applyAlignment="1">
      <alignment vertical="center" wrapText="1"/>
    </xf>
    <xf numFmtId="0" fontId="0" fillId="5" borderId="33" xfId="0" applyFill="1" applyBorder="1" applyAlignment="1">
      <alignment vertical="center" wrapText="1"/>
    </xf>
    <xf numFmtId="0" fontId="3" fillId="5" borderId="48" xfId="0" applyFont="1" applyFill="1" applyBorder="1" applyAlignment="1">
      <alignment vertical="center" wrapText="1"/>
    </xf>
    <xf numFmtId="0" fontId="0" fillId="5" borderId="54" xfId="0" applyFill="1" applyBorder="1" applyAlignment="1">
      <alignment vertical="center" wrapText="1"/>
    </xf>
    <xf numFmtId="0" fontId="3" fillId="21" borderId="2" xfId="0" applyFont="1" applyFill="1" applyBorder="1" applyAlignment="1">
      <alignment vertical="center" wrapText="1"/>
    </xf>
    <xf numFmtId="0" fontId="0" fillId="21" borderId="23" xfId="0" applyFill="1" applyBorder="1" applyAlignment="1">
      <alignment vertical="center" wrapText="1"/>
    </xf>
    <xf numFmtId="0" fontId="0" fillId="21" borderId="3" xfId="0" applyFill="1" applyBorder="1" applyAlignment="1">
      <alignment vertical="center" wrapText="1"/>
    </xf>
    <xf numFmtId="0" fontId="2" fillId="8" borderId="15" xfId="0" applyFont="1" applyFill="1" applyBorder="1" applyAlignment="1">
      <alignment vertical="center"/>
    </xf>
    <xf numFmtId="0" fontId="26" fillId="8" borderId="15" xfId="0" applyFont="1" applyFill="1" applyBorder="1" applyAlignment="1">
      <alignment vertical="center"/>
    </xf>
    <xf numFmtId="0" fontId="24" fillId="16" borderId="24" xfId="0" applyFont="1" applyFill="1" applyBorder="1" applyAlignment="1">
      <alignment vertical="center"/>
    </xf>
    <xf numFmtId="0" fontId="21" fillId="16" borderId="9" xfId="0" applyFont="1" applyFill="1" applyBorder="1" applyAlignment="1">
      <alignment vertical="center"/>
    </xf>
    <xf numFmtId="0" fontId="4" fillId="16" borderId="9" xfId="0" applyFont="1" applyFill="1" applyBorder="1" applyAlignment="1">
      <alignment vertical="center"/>
    </xf>
    <xf numFmtId="0" fontId="4" fillId="16" borderId="12" xfId="0" applyFont="1" applyFill="1" applyBorder="1" applyAlignment="1">
      <alignment vertical="center"/>
    </xf>
    <xf numFmtId="0" fontId="21" fillId="16" borderId="12" xfId="0" applyFont="1" applyFill="1" applyBorder="1" applyAlignment="1">
      <alignment vertical="center"/>
    </xf>
    <xf numFmtId="0" fontId="19" fillId="7" borderId="23" xfId="0" applyFont="1" applyFill="1" applyBorder="1" applyAlignment="1">
      <alignment vertical="center"/>
    </xf>
    <xf numFmtId="0" fontId="2" fillId="16" borderId="12" xfId="0" applyFont="1" applyFill="1" applyBorder="1" applyAlignment="1">
      <alignment vertical="center"/>
    </xf>
    <xf numFmtId="0" fontId="12" fillId="16" borderId="12" xfId="0" applyFont="1" applyFill="1" applyBorder="1" applyAlignment="1">
      <alignment vertical="center"/>
    </xf>
    <xf numFmtId="0" fontId="24" fillId="16" borderId="12" xfId="0" applyFont="1" applyFill="1" applyBorder="1" applyAlignment="1">
      <alignment vertical="center"/>
    </xf>
    <xf numFmtId="0" fontId="4" fillId="16" borderId="15" xfId="0" applyFont="1" applyFill="1" applyBorder="1" applyAlignment="1">
      <alignment vertical="center"/>
    </xf>
    <xf numFmtId="0" fontId="21" fillId="16" borderId="15" xfId="0" applyFont="1" applyFill="1" applyBorder="1" applyAlignment="1">
      <alignment vertical="center"/>
    </xf>
    <xf numFmtId="0" fontId="0" fillId="15" borderId="12" xfId="0" applyFill="1" applyBorder="1"/>
    <xf numFmtId="0" fontId="0" fillId="15" borderId="12" xfId="0" applyFill="1" applyBorder="1" applyAlignment="1">
      <alignment vertical="center"/>
    </xf>
    <xf numFmtId="0" fontId="0" fillId="11" borderId="12" xfId="0" applyFill="1" applyBorder="1" applyAlignment="1">
      <alignment horizontal="left" vertical="center"/>
    </xf>
    <xf numFmtId="0" fontId="0" fillId="11" borderId="12" xfId="0" applyFill="1" applyBorder="1"/>
    <xf numFmtId="0" fontId="0" fillId="33" borderId="12" xfId="0" applyFill="1" applyBorder="1"/>
    <xf numFmtId="0" fontId="0" fillId="33" borderId="15" xfId="0" applyFill="1" applyBorder="1"/>
    <xf numFmtId="0" fontId="0" fillId="9" borderId="1" xfId="0" applyFill="1" applyBorder="1" applyAlignment="1">
      <alignment horizontal="center" vertical="center"/>
    </xf>
    <xf numFmtId="0" fontId="41" fillId="0" borderId="1" xfId="0" applyFont="1" applyBorder="1" applyAlignment="1">
      <alignment horizontal="center" vertical="center"/>
    </xf>
    <xf numFmtId="0" fontId="0" fillId="0" borderId="1" xfId="0" applyBorder="1" applyAlignment="1">
      <alignment horizontal="left" vertical="center"/>
    </xf>
    <xf numFmtId="0" fontId="0" fillId="9" borderId="28" xfId="0" applyFill="1" applyBorder="1" applyAlignment="1">
      <alignment horizontal="center" vertical="center"/>
    </xf>
    <xf numFmtId="0" fontId="41" fillId="0" borderId="28" xfId="0" applyFont="1" applyBorder="1" applyAlignment="1">
      <alignment horizontal="center" vertical="center"/>
    </xf>
    <xf numFmtId="0" fontId="0" fillId="0" borderId="69" xfId="0" applyBorder="1"/>
    <xf numFmtId="0" fontId="0" fillId="9" borderId="41" xfId="0" applyFill="1" applyBorder="1" applyAlignment="1">
      <alignment horizontal="center" vertical="center"/>
    </xf>
    <xf numFmtId="0" fontId="1" fillId="0" borderId="58" xfId="0" applyFont="1" applyBorder="1"/>
    <xf numFmtId="0" fontId="42" fillId="0" borderId="2" xfId="0" applyFont="1" applyBorder="1" applyAlignment="1">
      <alignment horizontal="center" vertical="center"/>
    </xf>
    <xf numFmtId="0" fontId="0" fillId="9" borderId="23" xfId="0" applyFill="1" applyBorder="1" applyAlignment="1">
      <alignment horizontal="center" vertical="center"/>
    </xf>
    <xf numFmtId="0" fontId="5" fillId="2" borderId="23" xfId="0" applyFont="1" applyFill="1" applyBorder="1" applyAlignment="1">
      <alignment horizontal="center" vertical="center"/>
    </xf>
    <xf numFmtId="0" fontId="0" fillId="15" borderId="1" xfId="0" applyFill="1" applyBorder="1" applyAlignment="1">
      <alignment vertical="center"/>
    </xf>
    <xf numFmtId="0" fontId="0" fillId="15" borderId="1" xfId="0" applyFill="1" applyBorder="1"/>
    <xf numFmtId="0" fontId="0" fillId="7" borderId="1" xfId="0" applyFill="1" applyBorder="1" applyAlignment="1">
      <alignment vertical="center"/>
    </xf>
    <xf numFmtId="0" fontId="0" fillId="7" borderId="1" xfId="0" applyFill="1" applyBorder="1"/>
    <xf numFmtId="0" fontId="0" fillId="11" borderId="1" xfId="0" applyFill="1" applyBorder="1"/>
    <xf numFmtId="0" fontId="0" fillId="11" borderId="1" xfId="0" applyFill="1" applyBorder="1" applyAlignment="1">
      <alignment vertical="center"/>
    </xf>
    <xf numFmtId="0" fontId="0" fillId="7" borderId="19" xfId="0" applyFill="1" applyBorder="1"/>
    <xf numFmtId="0" fontId="0" fillId="33" borderId="1" xfId="0" applyFill="1" applyBorder="1" applyAlignment="1">
      <alignment horizontal="left" vertical="center"/>
    </xf>
    <xf numFmtId="0" fontId="49" fillId="0" borderId="1" xfId="0" applyFont="1" applyBorder="1"/>
    <xf numFmtId="0" fontId="0" fillId="3" borderId="12" xfId="0" applyFill="1" applyBorder="1"/>
    <xf numFmtId="0" fontId="0" fillId="3" borderId="1" xfId="0" applyFill="1" applyBorder="1" applyAlignment="1">
      <alignment vertical="center"/>
    </xf>
    <xf numFmtId="0" fontId="0" fillId="3" borderId="1" xfId="0" applyFill="1" applyBorder="1"/>
    <xf numFmtId="0" fontId="50" fillId="0" borderId="1" xfId="0" applyFont="1" applyBorder="1"/>
    <xf numFmtId="0" fontId="49" fillId="7" borderId="1" xfId="0" applyFont="1" applyFill="1" applyBorder="1" applyAlignment="1">
      <alignment vertical="center"/>
    </xf>
    <xf numFmtId="0" fontId="49" fillId="7" borderId="1" xfId="0" applyFont="1" applyFill="1" applyBorder="1"/>
    <xf numFmtId="0" fontId="33" fillId="0" borderId="44" xfId="0" applyFont="1" applyBorder="1" applyAlignment="1">
      <alignment vertical="center"/>
    </xf>
    <xf numFmtId="0" fontId="3" fillId="2" borderId="6" xfId="0" applyFont="1" applyFill="1" applyBorder="1" applyAlignment="1">
      <alignment horizontal="center" vertical="center"/>
    </xf>
    <xf numFmtId="0" fontId="3" fillId="0" borderId="6" xfId="0" applyFont="1" applyBorder="1" applyAlignment="1">
      <alignment horizontal="center" vertical="center" wrapText="1"/>
    </xf>
    <xf numFmtId="0" fontId="0" fillId="0" borderId="0" xfId="0" applyAlignment="1">
      <alignment horizontal="left"/>
    </xf>
    <xf numFmtId="0" fontId="10" fillId="4" borderId="2" xfId="0" applyFont="1" applyFill="1" applyBorder="1" applyAlignment="1">
      <alignment horizontal="left" vertical="top" wrapText="1"/>
    </xf>
    <xf numFmtId="0" fontId="10" fillId="4" borderId="3" xfId="0" applyFont="1" applyFill="1" applyBorder="1" applyAlignment="1">
      <alignment horizontal="left" vertical="top" wrapText="1"/>
    </xf>
    <xf numFmtId="0" fontId="4" fillId="5" borderId="0" xfId="0" applyFont="1" applyFill="1" applyAlignment="1">
      <alignment horizontal="left" vertical="top" wrapText="1"/>
    </xf>
    <xf numFmtId="0" fontId="6" fillId="2" borderId="2" xfId="0" applyFont="1" applyFill="1" applyBorder="1" applyAlignment="1">
      <alignment horizontal="left"/>
    </xf>
    <xf numFmtId="0" fontId="6" fillId="2" borderId="3" xfId="0" applyFont="1" applyFill="1" applyBorder="1" applyAlignment="1">
      <alignment horizontal="left"/>
    </xf>
    <xf numFmtId="0" fontId="0" fillId="7" borderId="1" xfId="0" applyFill="1" applyBorder="1" applyAlignment="1">
      <alignment horizontal="center" vertical="center"/>
    </xf>
    <xf numFmtId="0" fontId="48" fillId="2" borderId="2" xfId="0" applyFont="1" applyFill="1" applyBorder="1" applyAlignment="1">
      <alignment horizontal="center" vertical="center"/>
    </xf>
    <xf numFmtId="0" fontId="48" fillId="2" borderId="47" xfId="0" applyFont="1" applyFill="1" applyBorder="1" applyAlignment="1">
      <alignment horizontal="center" vertical="center"/>
    </xf>
    <xf numFmtId="0" fontId="48" fillId="2" borderId="3" xfId="0" applyFont="1" applyFill="1" applyBorder="1" applyAlignment="1">
      <alignment horizontal="center" vertical="center"/>
    </xf>
    <xf numFmtId="0" fontId="46" fillId="5" borderId="45" xfId="0" applyFont="1" applyFill="1" applyBorder="1" applyAlignment="1">
      <alignment horizontal="center" vertical="center" textRotation="90"/>
    </xf>
    <xf numFmtId="0" fontId="46" fillId="5" borderId="59" xfId="0" applyFont="1" applyFill="1" applyBorder="1" applyAlignment="1">
      <alignment horizontal="center" vertical="center" textRotation="90"/>
    </xf>
    <xf numFmtId="0" fontId="46" fillId="5" borderId="4" xfId="0" applyFont="1" applyFill="1" applyBorder="1" applyAlignment="1">
      <alignment horizontal="center" vertical="center" textRotation="90"/>
    </xf>
    <xf numFmtId="0" fontId="46" fillId="5" borderId="5" xfId="0" applyFont="1" applyFill="1" applyBorder="1" applyAlignment="1">
      <alignment horizontal="center" vertical="center" textRotation="90"/>
    </xf>
    <xf numFmtId="0" fontId="46" fillId="32" borderId="6" xfId="0" applyFont="1" applyFill="1" applyBorder="1" applyAlignment="1">
      <alignment horizontal="distributed" vertical="distributed" textRotation="90" shrinkToFit="1"/>
    </xf>
    <xf numFmtId="0" fontId="46" fillId="32" borderId="4" xfId="0" applyFont="1" applyFill="1" applyBorder="1" applyAlignment="1">
      <alignment horizontal="distributed" vertical="distributed" textRotation="90" shrinkToFit="1"/>
    </xf>
    <xf numFmtId="0" fontId="46" fillId="32" borderId="5" xfId="0" applyFont="1" applyFill="1" applyBorder="1" applyAlignment="1">
      <alignment horizontal="distributed" vertical="distributed" textRotation="90" shrinkToFit="1"/>
    </xf>
    <xf numFmtId="0" fontId="42" fillId="0" borderId="70" xfId="0" applyFont="1" applyBorder="1" applyAlignment="1">
      <alignment horizontal="center" vertical="center"/>
    </xf>
    <xf numFmtId="0" fontId="42" fillId="0" borderId="25" xfId="0" applyFont="1" applyBorder="1" applyAlignment="1">
      <alignment horizontal="center" vertical="center"/>
    </xf>
    <xf numFmtId="0" fontId="42" fillId="0" borderId="26" xfId="0" applyFont="1" applyBorder="1" applyAlignment="1">
      <alignment horizontal="center" vertical="center"/>
    </xf>
    <xf numFmtId="0" fontId="0" fillId="7" borderId="19" xfId="0" applyFill="1" applyBorder="1" applyAlignment="1">
      <alignment horizontal="left" vertical="center" wrapText="1"/>
    </xf>
    <xf numFmtId="0" fontId="0" fillId="7" borderId="60" xfId="0" applyFill="1" applyBorder="1" applyAlignment="1">
      <alignment horizontal="left" vertical="center" wrapText="1"/>
    </xf>
    <xf numFmtId="0" fontId="0" fillId="7" borderId="28" xfId="0" applyFill="1" applyBorder="1" applyAlignment="1">
      <alignment horizontal="left" vertical="center" wrapText="1"/>
    </xf>
    <xf numFmtId="0" fontId="45" fillId="15" borderId="2" xfId="0" applyFont="1" applyFill="1" applyBorder="1" applyAlignment="1">
      <alignment horizontal="center" vertical="center" wrapText="1"/>
    </xf>
    <xf numFmtId="0" fontId="45" fillId="15" borderId="3" xfId="0" applyFont="1" applyFill="1" applyBorder="1" applyAlignment="1">
      <alignment horizontal="center" vertical="center" wrapText="1"/>
    </xf>
    <xf numFmtId="0" fontId="5" fillId="7" borderId="2" xfId="0" applyFont="1" applyFill="1" applyBorder="1" applyAlignment="1">
      <alignment vertical="center"/>
    </xf>
    <xf numFmtId="0" fontId="5" fillId="7" borderId="47" xfId="0" applyFont="1" applyFill="1" applyBorder="1" applyAlignment="1">
      <alignment vertical="center"/>
    </xf>
    <xf numFmtId="0" fontId="5" fillId="7" borderId="3" xfId="0" applyFont="1" applyFill="1" applyBorder="1" applyAlignment="1">
      <alignment vertical="center"/>
    </xf>
    <xf numFmtId="0" fontId="33" fillId="0" borderId="47" xfId="0" applyFont="1" applyBorder="1" applyAlignment="1">
      <alignment vertical="center" wrapText="1"/>
    </xf>
    <xf numFmtId="0" fontId="33" fillId="0" borderId="3" xfId="0" applyFont="1" applyBorder="1" applyAlignment="1">
      <alignment vertical="center" wrapText="1"/>
    </xf>
    <xf numFmtId="0" fontId="19" fillId="0" borderId="47" xfId="0" applyFont="1" applyBorder="1" applyAlignment="1">
      <alignment vertical="center" wrapText="1"/>
    </xf>
    <xf numFmtId="0" fontId="19" fillId="0" borderId="3" xfId="0" applyFont="1" applyBorder="1" applyAlignment="1">
      <alignment vertical="center" wrapText="1"/>
    </xf>
    <xf numFmtId="0" fontId="5" fillId="6" borderId="2" xfId="0" applyFont="1" applyFill="1" applyBorder="1" applyAlignment="1">
      <alignment vertical="center"/>
    </xf>
    <xf numFmtId="0" fontId="5" fillId="6" borderId="47" xfId="0" applyFont="1" applyFill="1" applyBorder="1" applyAlignment="1">
      <alignment vertical="center"/>
    </xf>
    <xf numFmtId="0" fontId="5" fillId="6" borderId="3" xfId="0" applyFont="1" applyFill="1" applyBorder="1" applyAlignment="1">
      <alignment vertical="center"/>
    </xf>
    <xf numFmtId="0" fontId="5" fillId="8" borderId="2" xfId="0" applyFont="1" applyFill="1" applyBorder="1" applyAlignment="1">
      <alignment horizontal="center"/>
    </xf>
    <xf numFmtId="0" fontId="5" fillId="8" borderId="47" xfId="0" applyFont="1" applyFill="1" applyBorder="1" applyAlignment="1">
      <alignment horizontal="center"/>
    </xf>
    <xf numFmtId="0" fontId="32" fillId="19" borderId="2" xfId="0" applyFont="1" applyFill="1" applyBorder="1" applyAlignment="1">
      <alignment horizontal="center"/>
    </xf>
    <xf numFmtId="0" fontId="32" fillId="19" borderId="3" xfId="0" applyFont="1" applyFill="1" applyBorder="1" applyAlignment="1">
      <alignment horizontal="center"/>
    </xf>
    <xf numFmtId="0" fontId="27" fillId="0" borderId="6" xfId="0" applyFont="1" applyBorder="1" applyAlignment="1">
      <alignment horizontal="center" vertical="center" wrapText="1"/>
    </xf>
    <xf numFmtId="0" fontId="27" fillId="0" borderId="4" xfId="0" applyFont="1" applyBorder="1" applyAlignment="1">
      <alignment horizontal="center" vertical="center"/>
    </xf>
    <xf numFmtId="0" fontId="27" fillId="0" borderId="5" xfId="0" applyFont="1" applyBorder="1" applyAlignment="1">
      <alignment horizontal="center" vertical="center"/>
    </xf>
    <xf numFmtId="0" fontId="5" fillId="16" borderId="45" xfId="0" applyFont="1" applyFill="1" applyBorder="1" applyAlignment="1">
      <alignment horizontal="center"/>
    </xf>
    <xf numFmtId="0" fontId="5" fillId="16" borderId="42" xfId="0" applyFont="1" applyFill="1" applyBorder="1" applyAlignment="1">
      <alignment horizontal="center"/>
    </xf>
    <xf numFmtId="0" fontId="5" fillId="16" borderId="3" xfId="0" applyFont="1" applyFill="1" applyBorder="1" applyAlignment="1">
      <alignment horizontal="center"/>
    </xf>
    <xf numFmtId="0" fontId="5" fillId="5" borderId="45" xfId="0" applyFont="1" applyFill="1" applyBorder="1" applyAlignment="1">
      <alignment horizontal="center"/>
    </xf>
    <xf numFmtId="0" fontId="5" fillId="5" borderId="42" xfId="0" applyFont="1" applyFill="1" applyBorder="1" applyAlignment="1">
      <alignment horizontal="center"/>
    </xf>
    <xf numFmtId="0" fontId="5" fillId="5" borderId="17" xfId="0" applyFont="1" applyFill="1" applyBorder="1" applyAlignment="1">
      <alignment horizontal="center"/>
    </xf>
    <xf numFmtId="0" fontId="27" fillId="0" borderId="45" xfId="0" applyFont="1" applyBorder="1" applyAlignment="1">
      <alignment horizontal="center" vertical="center"/>
    </xf>
    <xf numFmtId="0" fontId="27" fillId="0" borderId="59" xfId="0" applyFont="1" applyBorder="1" applyAlignment="1">
      <alignment horizontal="center" vertical="center"/>
    </xf>
    <xf numFmtId="0" fontId="5" fillId="15" borderId="2" xfId="0" applyFont="1" applyFill="1" applyBorder="1" applyAlignment="1">
      <alignment horizontal="center" vertical="center"/>
    </xf>
    <xf numFmtId="0" fontId="5" fillId="15" borderId="3" xfId="0" applyFont="1" applyFill="1" applyBorder="1" applyAlignment="1">
      <alignment horizontal="center" vertical="center"/>
    </xf>
    <xf numFmtId="0" fontId="3" fillId="15" borderId="17" xfId="0" applyFont="1" applyFill="1" applyBorder="1" applyAlignment="1">
      <alignment horizontal="center" vertical="center"/>
    </xf>
    <xf numFmtId="0" fontId="3" fillId="15" borderId="22" xfId="0" applyFont="1" applyFill="1" applyBorder="1" applyAlignment="1">
      <alignment horizontal="center" vertical="center"/>
    </xf>
    <xf numFmtId="0" fontId="27" fillId="0" borderId="45" xfId="0" applyFont="1" applyBorder="1" applyAlignment="1">
      <alignment horizontal="center" vertical="center" wrapText="1"/>
    </xf>
    <xf numFmtId="0" fontId="27" fillId="0" borderId="4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46" xfId="0" applyFont="1" applyBorder="1" applyAlignment="1">
      <alignment horizontal="center" vertical="center" wrapText="1"/>
    </xf>
    <xf numFmtId="0" fontId="27" fillId="0" borderId="44" xfId="0" applyFont="1" applyBorder="1" applyAlignment="1">
      <alignment horizontal="center" vertical="center" wrapText="1"/>
    </xf>
    <xf numFmtId="0" fontId="27" fillId="0" borderId="22" xfId="0" applyFont="1" applyBorder="1" applyAlignment="1">
      <alignment horizontal="center" vertical="center" wrapText="1"/>
    </xf>
    <xf numFmtId="0" fontId="5" fillId="15" borderId="44" xfId="0" applyFont="1" applyFill="1" applyBorder="1" applyAlignment="1">
      <alignment horizontal="center" vertical="center"/>
    </xf>
    <xf numFmtId="0" fontId="5" fillId="15" borderId="22" xfId="0" applyFont="1" applyFill="1" applyBorder="1" applyAlignment="1">
      <alignment horizontal="center" vertical="center"/>
    </xf>
    <xf numFmtId="0" fontId="5" fillId="15" borderId="46" xfId="0" applyFont="1" applyFill="1" applyBorder="1" applyAlignment="1">
      <alignment horizontal="center" vertical="center"/>
    </xf>
    <xf numFmtId="0" fontId="5" fillId="16" borderId="47" xfId="0" applyFont="1" applyFill="1" applyBorder="1" applyAlignment="1">
      <alignment horizontal="center"/>
    </xf>
    <xf numFmtId="0" fontId="5" fillId="15" borderId="47" xfId="0" applyFont="1" applyFill="1" applyBorder="1" applyAlignment="1">
      <alignment horizontal="center" vertical="center"/>
    </xf>
    <xf numFmtId="0" fontId="5" fillId="5" borderId="2" xfId="0" applyFont="1" applyFill="1" applyBorder="1" applyAlignment="1">
      <alignment horizontal="center"/>
    </xf>
    <xf numFmtId="0" fontId="5" fillId="5" borderId="47" xfId="0" applyFont="1" applyFill="1" applyBorder="1" applyAlignment="1">
      <alignment horizontal="center"/>
    </xf>
    <xf numFmtId="0" fontId="5" fillId="5" borderId="3" xfId="0" applyFont="1" applyFill="1" applyBorder="1" applyAlignment="1">
      <alignment horizontal="center"/>
    </xf>
    <xf numFmtId="0" fontId="3" fillId="15" borderId="6" xfId="0" applyFont="1" applyFill="1" applyBorder="1" applyAlignment="1">
      <alignment horizontal="center" vertical="center"/>
    </xf>
    <xf numFmtId="0" fontId="3" fillId="15" borderId="4" xfId="0" applyFont="1" applyFill="1" applyBorder="1" applyAlignment="1">
      <alignment horizontal="center" vertical="center"/>
    </xf>
    <xf numFmtId="0" fontId="27" fillId="15" borderId="6" xfId="0" applyFont="1" applyFill="1" applyBorder="1" applyAlignment="1">
      <alignment horizontal="center" vertical="center"/>
    </xf>
    <xf numFmtId="0" fontId="27" fillId="15" borderId="4" xfId="0" applyFont="1" applyFill="1" applyBorder="1" applyAlignment="1">
      <alignment horizontal="center" vertical="center"/>
    </xf>
    <xf numFmtId="0" fontId="22" fillId="0" borderId="0" xfId="0" applyFont="1" applyAlignment="1">
      <alignment horizontal="center" vertical="center"/>
    </xf>
    <xf numFmtId="0" fontId="22" fillId="0" borderId="18" xfId="0" applyFont="1" applyBorder="1" applyAlignment="1">
      <alignment horizontal="center" vertical="center"/>
    </xf>
  </cellXfs>
  <cellStyles count="2">
    <cellStyle name="Monétaire" xfId="1" builtinId="4"/>
    <cellStyle name="Normal" xfId="0" builtinId="0"/>
  </cellStyles>
  <dxfs count="4">
    <dxf>
      <fill>
        <patternFill>
          <bgColor theme="5" tint="0.79998168889431442"/>
        </patternFill>
      </fill>
    </dxf>
    <dxf>
      <fill>
        <patternFill>
          <bgColor theme="9" tint="0.79998168889431442"/>
        </patternFill>
      </fill>
    </dxf>
    <dxf>
      <font>
        <color rgb="FFFF0000"/>
      </font>
    </dxf>
    <dxf>
      <font>
        <color rgb="FF00B050"/>
      </font>
    </dxf>
  </dxfs>
  <tableStyles count="0" defaultTableStyle="TableStyleMedium2" defaultPivotStyle="PivotStyleLight16"/>
  <colors>
    <mruColors>
      <color rgb="FFEAC1FF"/>
      <color rgb="FFFFC41D"/>
      <color rgb="FFFFE1E1"/>
      <color rgb="FFFFC1C1"/>
      <color rgb="FFFF7575"/>
      <color rgb="FFF1D5FF"/>
      <color rgb="FFF4CCEC"/>
      <color rgb="FFD6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C229-7978-4B08-B0F0-08077BE46300}">
  <sheetPr codeName="Feuil1">
    <tabColor rgb="FFFFFF00"/>
  </sheetPr>
  <dimension ref="B2:F154"/>
  <sheetViews>
    <sheetView zoomScaleNormal="100" workbookViewId="0">
      <selection activeCell="F12" sqref="F12"/>
    </sheetView>
  </sheetViews>
  <sheetFormatPr baseColWidth="10" defaultRowHeight="15" x14ac:dyDescent="0.25"/>
  <cols>
    <col min="2" max="2" width="33" customWidth="1"/>
    <col min="3" max="3" width="55.5703125" customWidth="1"/>
    <col min="4" max="4" width="86" bestFit="1" customWidth="1"/>
    <col min="6" max="6" width="63.85546875" customWidth="1"/>
  </cols>
  <sheetData>
    <row r="2" spans="2:4" ht="15.75" thickBot="1" x14ac:dyDescent="0.3"/>
    <row r="3" spans="2:4" ht="15.75" thickBot="1" x14ac:dyDescent="0.3">
      <c r="B3" s="404" t="s">
        <v>149</v>
      </c>
      <c r="C3" s="161"/>
      <c r="D3" s="405" t="s">
        <v>150</v>
      </c>
    </row>
    <row r="4" spans="2:4" x14ac:dyDescent="0.25">
      <c r="B4" s="10" t="s">
        <v>151</v>
      </c>
      <c r="C4" s="11" t="s">
        <v>151</v>
      </c>
      <c r="D4" s="65" t="s">
        <v>152</v>
      </c>
    </row>
    <row r="5" spans="2:4" x14ac:dyDescent="0.25">
      <c r="B5" s="12" t="s">
        <v>2</v>
      </c>
      <c r="C5" s="13" t="s">
        <v>2</v>
      </c>
      <c r="D5" s="14"/>
    </row>
    <row r="6" spans="2:4" x14ac:dyDescent="0.25">
      <c r="B6" s="12" t="s">
        <v>153</v>
      </c>
      <c r="C6" s="15" t="s">
        <v>154</v>
      </c>
      <c r="D6" s="14" t="s">
        <v>155</v>
      </c>
    </row>
    <row r="7" spans="2:4" x14ac:dyDescent="0.25">
      <c r="B7" s="16" t="s">
        <v>156</v>
      </c>
      <c r="C7" s="15" t="s">
        <v>154</v>
      </c>
      <c r="D7" s="14" t="s">
        <v>157</v>
      </c>
    </row>
    <row r="8" spans="2:4" x14ac:dyDescent="0.25">
      <c r="B8" s="12" t="s">
        <v>3</v>
      </c>
      <c r="C8" s="13" t="s">
        <v>3</v>
      </c>
      <c r="D8" s="14"/>
    </row>
    <row r="9" spans="2:4" ht="15.75" thickBot="1" x14ac:dyDescent="0.3">
      <c r="B9" s="17" t="s">
        <v>158</v>
      </c>
      <c r="C9" s="18" t="s">
        <v>154</v>
      </c>
      <c r="D9" s="19" t="s">
        <v>159</v>
      </c>
    </row>
    <row r="10" spans="2:4" x14ac:dyDescent="0.25">
      <c r="B10" s="10" t="s">
        <v>160</v>
      </c>
      <c r="C10" s="20" t="s">
        <v>154</v>
      </c>
      <c r="D10" s="66"/>
    </row>
    <row r="11" spans="2:4" x14ac:dyDescent="0.25">
      <c r="B11" s="12" t="s">
        <v>161</v>
      </c>
      <c r="C11" s="21" t="s">
        <v>154</v>
      </c>
      <c r="D11" s="67"/>
    </row>
    <row r="12" spans="2:4" x14ac:dyDescent="0.25">
      <c r="B12" s="12" t="s">
        <v>162</v>
      </c>
      <c r="C12" s="21" t="s">
        <v>154</v>
      </c>
      <c r="D12" s="67"/>
    </row>
    <row r="13" spans="2:4" ht="15.75" thickBot="1" x14ac:dyDescent="0.3">
      <c r="B13" s="12" t="s">
        <v>163</v>
      </c>
      <c r="C13" s="22" t="s">
        <v>154</v>
      </c>
      <c r="D13" s="67"/>
    </row>
    <row r="14" spans="2:4" ht="15.75" thickBot="1" x14ac:dyDescent="0.3">
      <c r="B14" s="23" t="s">
        <v>164</v>
      </c>
      <c r="C14" s="407" t="s">
        <v>165</v>
      </c>
      <c r="D14" s="408"/>
    </row>
    <row r="15" spans="2:4" ht="15.75" thickBot="1" x14ac:dyDescent="0.3">
      <c r="B15" s="24" t="s">
        <v>166</v>
      </c>
      <c r="C15" s="25"/>
      <c r="D15" s="26"/>
    </row>
    <row r="17" spans="2:4" ht="34.5" customHeight="1" x14ac:dyDescent="0.25">
      <c r="B17" s="409" t="s">
        <v>168</v>
      </c>
      <c r="C17" s="409"/>
      <c r="D17" s="409"/>
    </row>
    <row r="18" spans="2:4" x14ac:dyDescent="0.25">
      <c r="B18" s="27" t="s">
        <v>167</v>
      </c>
      <c r="C18" s="27"/>
      <c r="D18" s="27"/>
    </row>
    <row r="19" spans="2:4" ht="15.75" thickBot="1" x14ac:dyDescent="0.3"/>
    <row r="20" spans="2:4" ht="15.75" thickBot="1" x14ac:dyDescent="0.3">
      <c r="B20" s="31" t="s">
        <v>233</v>
      </c>
    </row>
    <row r="21" spans="2:4" x14ac:dyDescent="0.25">
      <c r="B21" s="2" t="s">
        <v>184</v>
      </c>
    </row>
    <row r="22" spans="2:4" ht="15.75" thickBot="1" x14ac:dyDescent="0.3"/>
    <row r="23" spans="2:4" ht="15.75" thickBot="1" x14ac:dyDescent="0.3">
      <c r="B23" s="31" t="s">
        <v>185</v>
      </c>
    </row>
    <row r="24" spans="2:4" x14ac:dyDescent="0.25">
      <c r="B24" s="2" t="s">
        <v>186</v>
      </c>
    </row>
    <row r="25" spans="2:4" ht="15.75" thickBot="1" x14ac:dyDescent="0.3"/>
    <row r="26" spans="2:4" ht="15.75" thickBot="1" x14ac:dyDescent="0.3">
      <c r="B26" s="31" t="s">
        <v>187</v>
      </c>
    </row>
    <row r="27" spans="2:4" x14ac:dyDescent="0.25">
      <c r="B27" s="2" t="s">
        <v>188</v>
      </c>
    </row>
    <row r="28" spans="2:4" ht="15.75" thickBot="1" x14ac:dyDescent="0.3">
      <c r="B28" s="2"/>
    </row>
    <row r="29" spans="2:4" ht="15.75" thickBot="1" x14ac:dyDescent="0.3">
      <c r="B29" s="410" t="s">
        <v>45</v>
      </c>
      <c r="C29" s="411"/>
    </row>
    <row r="30" spans="2:4" x14ac:dyDescent="0.25">
      <c r="B30" s="406" t="s">
        <v>46</v>
      </c>
      <c r="C30" s="406"/>
    </row>
    <row r="31" spans="2:4" x14ac:dyDescent="0.25">
      <c r="B31" s="406" t="s">
        <v>47</v>
      </c>
      <c r="C31" s="406"/>
    </row>
    <row r="32" spans="2:4" x14ac:dyDescent="0.25">
      <c r="B32" s="406" t="s">
        <v>48</v>
      </c>
      <c r="C32" s="406"/>
    </row>
    <row r="33" spans="2:3" x14ac:dyDescent="0.25">
      <c r="B33" s="406" t="s">
        <v>49</v>
      </c>
      <c r="C33" s="406"/>
    </row>
    <row r="34" spans="2:3" x14ac:dyDescent="0.25">
      <c r="B34" s="4" t="s">
        <v>50</v>
      </c>
    </row>
    <row r="35" spans="2:3" x14ac:dyDescent="0.25">
      <c r="B35" s="4" t="s">
        <v>51</v>
      </c>
    </row>
    <row r="36" spans="2:3" x14ac:dyDescent="0.25">
      <c r="B36" s="4" t="s">
        <v>52</v>
      </c>
    </row>
    <row r="37" spans="2:3" x14ac:dyDescent="0.25">
      <c r="B37" s="5" t="s">
        <v>53</v>
      </c>
    </row>
    <row r="38" spans="2:3" x14ac:dyDescent="0.25">
      <c r="B38" s="4" t="s">
        <v>54</v>
      </c>
    </row>
    <row r="39" spans="2:3" x14ac:dyDescent="0.25">
      <c r="B39" s="4" t="s">
        <v>52</v>
      </c>
    </row>
    <row r="40" spans="2:3" x14ac:dyDescent="0.25">
      <c r="B40" s="5" t="s">
        <v>55</v>
      </c>
    </row>
    <row r="41" spans="2:3" x14ac:dyDescent="0.25">
      <c r="B41" s="4" t="s">
        <v>56</v>
      </c>
    </row>
    <row r="42" spans="2:3" x14ac:dyDescent="0.25">
      <c r="B42" s="4" t="s">
        <v>57</v>
      </c>
    </row>
    <row r="43" spans="2:3" x14ac:dyDescent="0.25">
      <c r="B43" s="4" t="s">
        <v>58</v>
      </c>
    </row>
    <row r="44" spans="2:3" x14ac:dyDescent="0.25">
      <c r="B44" s="4" t="s">
        <v>52</v>
      </c>
    </row>
    <row r="45" spans="2:3" x14ac:dyDescent="0.25">
      <c r="B45" s="5" t="s">
        <v>59</v>
      </c>
    </row>
    <row r="46" spans="2:3" x14ac:dyDescent="0.25">
      <c r="B46" s="4" t="s">
        <v>60</v>
      </c>
    </row>
    <row r="47" spans="2:3" x14ac:dyDescent="0.25">
      <c r="B47" s="4" t="s">
        <v>61</v>
      </c>
    </row>
    <row r="48" spans="2:3" x14ac:dyDescent="0.25">
      <c r="B48" s="4" t="s">
        <v>62</v>
      </c>
    </row>
    <row r="49" spans="2:2" x14ac:dyDescent="0.25">
      <c r="B49" s="4"/>
    </row>
    <row r="50" spans="2:2" x14ac:dyDescent="0.25">
      <c r="B50" s="4" t="s">
        <v>63</v>
      </c>
    </row>
    <row r="51" spans="2:2" x14ac:dyDescent="0.25">
      <c r="B51" s="5" t="s">
        <v>64</v>
      </c>
    </row>
    <row r="52" spans="2:2" x14ac:dyDescent="0.25">
      <c r="B52" s="4" t="s">
        <v>65</v>
      </c>
    </row>
    <row r="53" spans="2:2" x14ac:dyDescent="0.25">
      <c r="B53" s="4" t="s">
        <v>66</v>
      </c>
    </row>
    <row r="54" spans="2:2" x14ac:dyDescent="0.25">
      <c r="B54" s="4" t="s">
        <v>63</v>
      </c>
    </row>
    <row r="55" spans="2:2" x14ac:dyDescent="0.25">
      <c r="B55" s="5" t="s">
        <v>67</v>
      </c>
    </row>
    <row r="56" spans="2:2" x14ac:dyDescent="0.25">
      <c r="B56" s="4" t="s">
        <v>68</v>
      </c>
    </row>
    <row r="57" spans="2:2" ht="15.75" x14ac:dyDescent="0.25">
      <c r="B57" s="6" t="s">
        <v>69</v>
      </c>
    </row>
    <row r="58" spans="2:2" x14ac:dyDescent="0.25">
      <c r="B58" s="4" t="s">
        <v>70</v>
      </c>
    </row>
    <row r="59" spans="2:2" x14ac:dyDescent="0.25">
      <c r="B59" s="4" t="s">
        <v>71</v>
      </c>
    </row>
    <row r="60" spans="2:2" ht="15.75" x14ac:dyDescent="0.25">
      <c r="B60" s="6" t="s">
        <v>72</v>
      </c>
    </row>
    <row r="61" spans="2:2" x14ac:dyDescent="0.25">
      <c r="B61" s="4" t="s">
        <v>73</v>
      </c>
    </row>
    <row r="62" spans="2:2" x14ac:dyDescent="0.25">
      <c r="B62" s="4" t="s">
        <v>74</v>
      </c>
    </row>
    <row r="63" spans="2:2" x14ac:dyDescent="0.25">
      <c r="B63" s="4" t="s">
        <v>75</v>
      </c>
    </row>
    <row r="64" spans="2:2" x14ac:dyDescent="0.25">
      <c r="B64" s="4" t="s">
        <v>76</v>
      </c>
    </row>
    <row r="65" spans="2:2" x14ac:dyDescent="0.25">
      <c r="B65" s="4" t="s">
        <v>77</v>
      </c>
    </row>
    <row r="66" spans="2:2" x14ac:dyDescent="0.25">
      <c r="B66" s="4" t="s">
        <v>78</v>
      </c>
    </row>
    <row r="67" spans="2:2" x14ac:dyDescent="0.25">
      <c r="B67" s="4" t="s">
        <v>79</v>
      </c>
    </row>
    <row r="68" spans="2:2" x14ac:dyDescent="0.25">
      <c r="B68" s="4" t="s">
        <v>80</v>
      </c>
    </row>
    <row r="69" spans="2:2" x14ac:dyDescent="0.25">
      <c r="B69" s="4" t="s">
        <v>81</v>
      </c>
    </row>
    <row r="70" spans="2:2" x14ac:dyDescent="0.25">
      <c r="B70" s="4" t="s">
        <v>82</v>
      </c>
    </row>
    <row r="71" spans="2:2" x14ac:dyDescent="0.25">
      <c r="B71" s="4"/>
    </row>
    <row r="72" spans="2:2" x14ac:dyDescent="0.25">
      <c r="B72" s="7" t="s">
        <v>83</v>
      </c>
    </row>
    <row r="73" spans="2:2" x14ac:dyDescent="0.25">
      <c r="B73" s="4" t="s">
        <v>84</v>
      </c>
    </row>
    <row r="74" spans="2:2" x14ac:dyDescent="0.25">
      <c r="B74" s="4" t="s">
        <v>85</v>
      </c>
    </row>
    <row r="75" spans="2:2" x14ac:dyDescent="0.25">
      <c r="B75" s="4" t="s">
        <v>86</v>
      </c>
    </row>
    <row r="76" spans="2:2" x14ac:dyDescent="0.25">
      <c r="B76" s="4" t="s">
        <v>87</v>
      </c>
    </row>
    <row r="77" spans="2:2" x14ac:dyDescent="0.25">
      <c r="B77" s="4" t="s">
        <v>88</v>
      </c>
    </row>
    <row r="78" spans="2:2" x14ac:dyDescent="0.25">
      <c r="B78" s="4" t="s">
        <v>82</v>
      </c>
    </row>
    <row r="79" spans="2:2" x14ac:dyDescent="0.25">
      <c r="B79" s="4" t="s">
        <v>89</v>
      </c>
    </row>
    <row r="80" spans="2:2" ht="15.75" x14ac:dyDescent="0.25">
      <c r="B80" s="6" t="s">
        <v>90</v>
      </c>
    </row>
    <row r="81" spans="2:2" x14ac:dyDescent="0.25">
      <c r="B81" s="4" t="s">
        <v>91</v>
      </c>
    </row>
    <row r="82" spans="2:2" x14ac:dyDescent="0.25">
      <c r="B82" s="4" t="s">
        <v>92</v>
      </c>
    </row>
    <row r="83" spans="2:2" x14ac:dyDescent="0.25">
      <c r="B83" s="4" t="s">
        <v>93</v>
      </c>
    </row>
    <row r="84" spans="2:2" x14ac:dyDescent="0.25">
      <c r="B84" s="4" t="s">
        <v>94</v>
      </c>
    </row>
    <row r="85" spans="2:2" x14ac:dyDescent="0.25">
      <c r="B85" s="4" t="s">
        <v>95</v>
      </c>
    </row>
    <row r="86" spans="2:2" x14ac:dyDescent="0.25">
      <c r="B86" s="4" t="s">
        <v>96</v>
      </c>
    </row>
    <row r="87" spans="2:2" x14ac:dyDescent="0.25">
      <c r="B87" s="4" t="s">
        <v>82</v>
      </c>
    </row>
    <row r="88" spans="2:2" x14ac:dyDescent="0.25">
      <c r="B88" s="4" t="s">
        <v>89</v>
      </c>
    </row>
    <row r="89" spans="2:2" x14ac:dyDescent="0.25">
      <c r="B89" s="7" t="s">
        <v>97</v>
      </c>
    </row>
    <row r="90" spans="2:2" x14ac:dyDescent="0.25">
      <c r="B90" s="4" t="s">
        <v>93</v>
      </c>
    </row>
    <row r="91" spans="2:2" x14ac:dyDescent="0.25">
      <c r="B91" s="4" t="s">
        <v>94</v>
      </c>
    </row>
    <row r="92" spans="2:2" x14ac:dyDescent="0.25">
      <c r="B92" s="4" t="s">
        <v>95</v>
      </c>
    </row>
    <row r="93" spans="2:2" x14ac:dyDescent="0.25">
      <c r="B93" s="4" t="s">
        <v>96</v>
      </c>
    </row>
    <row r="94" spans="2:2" x14ac:dyDescent="0.25">
      <c r="B94" s="4" t="s">
        <v>82</v>
      </c>
    </row>
    <row r="95" spans="2:2" x14ac:dyDescent="0.25">
      <c r="B95" s="4" t="s">
        <v>98</v>
      </c>
    </row>
    <row r="96" spans="2:2" x14ac:dyDescent="0.25">
      <c r="B96" s="4" t="s">
        <v>99</v>
      </c>
    </row>
    <row r="97" spans="2:2" x14ac:dyDescent="0.25">
      <c r="B97" s="4" t="s">
        <v>100</v>
      </c>
    </row>
    <row r="98" spans="2:2" x14ac:dyDescent="0.25">
      <c r="B98" s="4" t="s">
        <v>101</v>
      </c>
    </row>
    <row r="99" spans="2:2" x14ac:dyDescent="0.25">
      <c r="B99" s="4" t="s">
        <v>102</v>
      </c>
    </row>
    <row r="100" spans="2:2" x14ac:dyDescent="0.25">
      <c r="B100" s="4" t="s">
        <v>103</v>
      </c>
    </row>
    <row r="101" spans="2:2" x14ac:dyDescent="0.25">
      <c r="B101" s="4" t="s">
        <v>104</v>
      </c>
    </row>
    <row r="102" spans="2:2" x14ac:dyDescent="0.25">
      <c r="B102" s="4" t="s">
        <v>105</v>
      </c>
    </row>
    <row r="103" spans="2:2" x14ac:dyDescent="0.25">
      <c r="B103" s="4" t="s">
        <v>106</v>
      </c>
    </row>
    <row r="104" spans="2:2" x14ac:dyDescent="0.25">
      <c r="B104" s="4" t="s">
        <v>107</v>
      </c>
    </row>
    <row r="105" spans="2:2" x14ac:dyDescent="0.25">
      <c r="B105" s="4" t="s">
        <v>100</v>
      </c>
    </row>
    <row r="106" spans="2:2" x14ac:dyDescent="0.25">
      <c r="B106" s="4" t="s">
        <v>82</v>
      </c>
    </row>
    <row r="107" spans="2:2" x14ac:dyDescent="0.25">
      <c r="B107" s="4" t="s">
        <v>108</v>
      </c>
    </row>
    <row r="108" spans="2:2" x14ac:dyDescent="0.25">
      <c r="B108" s="4" t="s">
        <v>109</v>
      </c>
    </row>
    <row r="109" spans="2:2" x14ac:dyDescent="0.25">
      <c r="B109" s="4" t="s">
        <v>110</v>
      </c>
    </row>
    <row r="110" spans="2:2" x14ac:dyDescent="0.25">
      <c r="B110" s="4" t="s">
        <v>63</v>
      </c>
    </row>
    <row r="111" spans="2:2" x14ac:dyDescent="0.25">
      <c r="B111" s="5" t="s">
        <v>111</v>
      </c>
    </row>
    <row r="112" spans="2:2" x14ac:dyDescent="0.25">
      <c r="B112" s="4" t="s">
        <v>112</v>
      </c>
    </row>
    <row r="113" spans="2:6" x14ac:dyDescent="0.25">
      <c r="B113" s="4" t="s">
        <v>113</v>
      </c>
    </row>
    <row r="114" spans="2:6" x14ac:dyDescent="0.25">
      <c r="B114" s="4" t="s">
        <v>114</v>
      </c>
    </row>
    <row r="115" spans="2:6" x14ac:dyDescent="0.25">
      <c r="B115" s="4" t="s">
        <v>63</v>
      </c>
    </row>
    <row r="116" spans="2:6" x14ac:dyDescent="0.25">
      <c r="B116" s="4" t="s">
        <v>115</v>
      </c>
    </row>
    <row r="117" spans="2:6" ht="15.75" thickBot="1" x14ac:dyDescent="0.3">
      <c r="B117" s="8" t="s">
        <v>116</v>
      </c>
    </row>
    <row r="118" spans="2:6" ht="15.75" thickBot="1" x14ac:dyDescent="0.3"/>
    <row r="119" spans="2:6" x14ac:dyDescent="0.25">
      <c r="F119" s="3" t="s">
        <v>117</v>
      </c>
    </row>
    <row r="120" spans="2:6" x14ac:dyDescent="0.25">
      <c r="F120" s="4" t="s">
        <v>118</v>
      </c>
    </row>
    <row r="121" spans="2:6" x14ac:dyDescent="0.25">
      <c r="F121" s="4" t="s">
        <v>119</v>
      </c>
    </row>
    <row r="122" spans="2:6" x14ac:dyDescent="0.25">
      <c r="F122" s="4" t="s">
        <v>120</v>
      </c>
    </row>
    <row r="123" spans="2:6" x14ac:dyDescent="0.25">
      <c r="F123" s="4"/>
    </row>
    <row r="124" spans="2:6" x14ac:dyDescent="0.25">
      <c r="F124" s="4" t="s">
        <v>121</v>
      </c>
    </row>
    <row r="125" spans="2:6" x14ac:dyDescent="0.25">
      <c r="F125" s="4" t="s">
        <v>122</v>
      </c>
    </row>
    <row r="126" spans="2:6" x14ac:dyDescent="0.25">
      <c r="F126" s="4" t="s">
        <v>123</v>
      </c>
    </row>
    <row r="127" spans="2:6" x14ac:dyDescent="0.25">
      <c r="F127" s="4" t="s">
        <v>124</v>
      </c>
    </row>
    <row r="128" spans="2:6" x14ac:dyDescent="0.25">
      <c r="F128" s="4" t="s">
        <v>125</v>
      </c>
    </row>
    <row r="129" spans="6:6" x14ac:dyDescent="0.25">
      <c r="F129" s="4" t="s">
        <v>126</v>
      </c>
    </row>
    <row r="130" spans="6:6" x14ac:dyDescent="0.25">
      <c r="F130" s="4" t="s">
        <v>127</v>
      </c>
    </row>
    <row r="131" spans="6:6" x14ac:dyDescent="0.25">
      <c r="F131" s="4" t="s">
        <v>128</v>
      </c>
    </row>
    <row r="132" spans="6:6" ht="15.75" thickBot="1" x14ac:dyDescent="0.3">
      <c r="F132" s="8" t="s">
        <v>129</v>
      </c>
    </row>
    <row r="133" spans="6:6" ht="15.75" thickBot="1" x14ac:dyDescent="0.3"/>
    <row r="134" spans="6:6" x14ac:dyDescent="0.25">
      <c r="F134" s="3" t="s">
        <v>130</v>
      </c>
    </row>
    <row r="135" spans="6:6" x14ac:dyDescent="0.25">
      <c r="F135" s="4" t="s">
        <v>131</v>
      </c>
    </row>
    <row r="136" spans="6:6" x14ac:dyDescent="0.25">
      <c r="F136" s="4" t="s">
        <v>132</v>
      </c>
    </row>
    <row r="137" spans="6:6" x14ac:dyDescent="0.25">
      <c r="F137" s="4" t="s">
        <v>133</v>
      </c>
    </row>
    <row r="138" spans="6:6" x14ac:dyDescent="0.25">
      <c r="F138" s="9" t="s">
        <v>134</v>
      </c>
    </row>
    <row r="139" spans="6:6" x14ac:dyDescent="0.25">
      <c r="F139" s="4" t="s">
        <v>135</v>
      </c>
    </row>
    <row r="140" spans="6:6" x14ac:dyDescent="0.25">
      <c r="F140" s="4" t="s">
        <v>136</v>
      </c>
    </row>
    <row r="141" spans="6:6" x14ac:dyDescent="0.25">
      <c r="F141" s="9" t="s">
        <v>137</v>
      </c>
    </row>
    <row r="142" spans="6:6" x14ac:dyDescent="0.25">
      <c r="F142" s="4" t="s">
        <v>138</v>
      </c>
    </row>
    <row r="143" spans="6:6" x14ac:dyDescent="0.25">
      <c r="F143" s="9" t="s">
        <v>139</v>
      </c>
    </row>
    <row r="144" spans="6:6" x14ac:dyDescent="0.25">
      <c r="F144" s="4" t="s">
        <v>140</v>
      </c>
    </row>
    <row r="145" spans="6:6" x14ac:dyDescent="0.25">
      <c r="F145" s="9" t="s">
        <v>141</v>
      </c>
    </row>
    <row r="146" spans="6:6" x14ac:dyDescent="0.25">
      <c r="F146" s="4" t="s">
        <v>142</v>
      </c>
    </row>
    <row r="147" spans="6:6" x14ac:dyDescent="0.25">
      <c r="F147" s="4" t="s">
        <v>143</v>
      </c>
    </row>
    <row r="148" spans="6:6" x14ac:dyDescent="0.25">
      <c r="F148" s="4" t="s">
        <v>144</v>
      </c>
    </row>
    <row r="149" spans="6:6" x14ac:dyDescent="0.25">
      <c r="F149" s="9" t="s">
        <v>145</v>
      </c>
    </row>
    <row r="150" spans="6:6" x14ac:dyDescent="0.25">
      <c r="F150" s="4" t="s">
        <v>146</v>
      </c>
    </row>
    <row r="151" spans="6:6" x14ac:dyDescent="0.25">
      <c r="F151" s="4" t="s">
        <v>126</v>
      </c>
    </row>
    <row r="152" spans="6:6" x14ac:dyDescent="0.25">
      <c r="F152" s="4" t="s">
        <v>147</v>
      </c>
    </row>
    <row r="153" spans="6:6" x14ac:dyDescent="0.25">
      <c r="F153" s="4" t="s">
        <v>148</v>
      </c>
    </row>
    <row r="154" spans="6:6" ht="15.75" thickBot="1" x14ac:dyDescent="0.3">
      <c r="F154" s="8" t="s">
        <v>129</v>
      </c>
    </row>
  </sheetData>
  <mergeCells count="7">
    <mergeCell ref="B32:C32"/>
    <mergeCell ref="B33:C33"/>
    <mergeCell ref="C14:D14"/>
    <mergeCell ref="B17:D17"/>
    <mergeCell ref="B29:C29"/>
    <mergeCell ref="B30:C30"/>
    <mergeCell ref="B31:C31"/>
  </mergeCells>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3AC2-045E-4120-BC9E-50602B77DE9D}">
  <sheetPr codeName="Feuil2">
    <tabColor rgb="FFFFFF00"/>
  </sheetPr>
  <dimension ref="B1:U39"/>
  <sheetViews>
    <sheetView tabSelected="1" workbookViewId="0">
      <selection activeCell="K20" sqref="K20"/>
    </sheetView>
  </sheetViews>
  <sheetFormatPr baseColWidth="10" defaultRowHeight="15" x14ac:dyDescent="0.25"/>
  <cols>
    <col min="2" max="2" width="7.42578125" bestFit="1" customWidth="1"/>
    <col min="3" max="3" width="19" customWidth="1"/>
    <col min="4" max="4" width="22.42578125" bestFit="1" customWidth="1"/>
    <col min="5" max="5" width="25.5703125" customWidth="1"/>
    <col min="6" max="6" width="30.28515625" customWidth="1"/>
    <col min="7" max="7" width="12.28515625" bestFit="1" customWidth="1"/>
    <col min="8" max="8" width="18.42578125" bestFit="1" customWidth="1"/>
    <col min="9" max="9" width="17.5703125" bestFit="1" customWidth="1"/>
    <col min="10" max="12" width="20.85546875" bestFit="1" customWidth="1"/>
    <col min="13" max="14" width="14.140625" bestFit="1" customWidth="1"/>
    <col min="15" max="15" width="10.140625" bestFit="1" customWidth="1"/>
    <col min="16" max="16" width="29.7109375" bestFit="1" customWidth="1"/>
    <col min="17" max="17" width="15.28515625" bestFit="1" customWidth="1"/>
    <col min="18" max="18" width="18" customWidth="1"/>
    <col min="19" max="19" width="19.7109375" bestFit="1" customWidth="1"/>
    <col min="20" max="20" width="24.5703125" bestFit="1" customWidth="1"/>
    <col min="21" max="21" width="19.7109375" bestFit="1" customWidth="1"/>
  </cols>
  <sheetData>
    <row r="1" spans="2:21" ht="15.75" thickBot="1" x14ac:dyDescent="0.3"/>
    <row r="2" spans="2:21" ht="15.75" thickBot="1" x14ac:dyDescent="0.3">
      <c r="B2" s="32"/>
      <c r="C2" s="32" t="s">
        <v>204</v>
      </c>
      <c r="D2" s="50">
        <v>1</v>
      </c>
      <c r="E2" s="39">
        <v>2</v>
      </c>
      <c r="F2" s="39">
        <v>3</v>
      </c>
      <c r="G2" s="39">
        <v>4</v>
      </c>
      <c r="H2" s="39">
        <v>5</v>
      </c>
      <c r="I2" s="39">
        <v>6</v>
      </c>
      <c r="J2" s="39">
        <v>7</v>
      </c>
      <c r="K2" s="36">
        <v>8</v>
      </c>
      <c r="L2" s="36">
        <v>9</v>
      </c>
      <c r="M2" s="36">
        <v>10</v>
      </c>
      <c r="N2" s="36">
        <v>11</v>
      </c>
      <c r="O2" s="36">
        <v>12</v>
      </c>
      <c r="P2" s="36">
        <v>13</v>
      </c>
      <c r="Q2" s="36">
        <v>14</v>
      </c>
      <c r="R2" s="36">
        <v>15</v>
      </c>
      <c r="S2" s="37">
        <v>16</v>
      </c>
      <c r="T2" s="36">
        <v>17</v>
      </c>
      <c r="U2" s="37">
        <v>18</v>
      </c>
    </row>
    <row r="3" spans="2:21" ht="15.75" customHeight="1" x14ac:dyDescent="0.25">
      <c r="B3" s="35" t="s">
        <v>203</v>
      </c>
      <c r="C3" s="48" t="s">
        <v>200</v>
      </c>
      <c r="D3" s="40" t="s">
        <v>190</v>
      </c>
      <c r="E3" s="40" t="s">
        <v>191</v>
      </c>
      <c r="F3" s="40" t="s">
        <v>192</v>
      </c>
      <c r="G3" s="40" t="s">
        <v>193</v>
      </c>
      <c r="H3" s="41" t="s">
        <v>151</v>
      </c>
      <c r="I3" s="40" t="s">
        <v>2</v>
      </c>
      <c r="J3" s="51" t="s">
        <v>1</v>
      </c>
      <c r="K3" s="47" t="s">
        <v>205</v>
      </c>
      <c r="L3" s="47" t="s">
        <v>3</v>
      </c>
      <c r="M3" s="46" t="s">
        <v>194</v>
      </c>
      <c r="N3" s="46" t="s">
        <v>196</v>
      </c>
      <c r="O3" s="46" t="s">
        <v>195</v>
      </c>
      <c r="P3" s="45" t="s">
        <v>198</v>
      </c>
      <c r="Q3" s="45" t="s">
        <v>197</v>
      </c>
      <c r="R3" s="47" t="s">
        <v>4</v>
      </c>
      <c r="S3" s="45" t="s">
        <v>5</v>
      </c>
      <c r="T3" s="45" t="s">
        <v>199</v>
      </c>
      <c r="U3" s="47" t="s">
        <v>6</v>
      </c>
    </row>
    <row r="4" spans="2:21" ht="15" customHeight="1" x14ac:dyDescent="0.25">
      <c r="B4" s="34" t="s">
        <v>201</v>
      </c>
      <c r="C4" s="49" t="s">
        <v>229</v>
      </c>
      <c r="D4" s="412" t="s">
        <v>0</v>
      </c>
      <c r="E4" s="51" t="s">
        <v>1</v>
      </c>
      <c r="F4" s="43" t="s">
        <v>153</v>
      </c>
      <c r="G4" s="42" t="s">
        <v>2</v>
      </c>
      <c r="H4" s="52" t="s">
        <v>156</v>
      </c>
      <c r="I4" s="52" t="s">
        <v>158</v>
      </c>
      <c r="J4" s="43" t="s">
        <v>160</v>
      </c>
      <c r="K4" s="44" t="s">
        <v>161</v>
      </c>
      <c r="L4" s="44" t="s">
        <v>206</v>
      </c>
      <c r="M4" s="44" t="s">
        <v>163</v>
      </c>
      <c r="N4" s="44" t="s">
        <v>164</v>
      </c>
      <c r="O4" s="44" t="s">
        <v>166</v>
      </c>
      <c r="P4" s="1"/>
      <c r="Q4" s="1"/>
      <c r="R4" s="1"/>
      <c r="S4" s="1"/>
      <c r="T4" s="1"/>
      <c r="U4" s="1"/>
    </row>
    <row r="5" spans="2:21" x14ac:dyDescent="0.25">
      <c r="B5" s="34" t="s">
        <v>202</v>
      </c>
      <c r="C5" s="49" t="s">
        <v>228</v>
      </c>
      <c r="D5" s="412"/>
      <c r="E5" s="43" t="s">
        <v>153</v>
      </c>
      <c r="F5" s="42" t="s">
        <v>2</v>
      </c>
      <c r="G5" s="52" t="s">
        <v>156</v>
      </c>
      <c r="H5" s="52" t="s">
        <v>158</v>
      </c>
      <c r="I5" s="43" t="s">
        <v>160</v>
      </c>
      <c r="J5" s="44" t="s">
        <v>161</v>
      </c>
      <c r="K5" s="47" t="s">
        <v>3</v>
      </c>
      <c r="L5" s="44" t="s">
        <v>206</v>
      </c>
      <c r="M5" s="44" t="s">
        <v>163</v>
      </c>
      <c r="N5" s="44" t="s">
        <v>164</v>
      </c>
      <c r="O5" s="44" t="s">
        <v>166</v>
      </c>
      <c r="P5" s="1"/>
      <c r="Q5" s="1"/>
      <c r="R5" s="1"/>
      <c r="S5" s="1"/>
      <c r="T5" s="1"/>
      <c r="U5" s="1"/>
    </row>
    <row r="8" spans="2:21" ht="15.75" thickBot="1" x14ac:dyDescent="0.3"/>
    <row r="9" spans="2:21" ht="15.75" thickBot="1" x14ac:dyDescent="0.3">
      <c r="C9" s="32" t="s">
        <v>217</v>
      </c>
    </row>
    <row r="10" spans="2:21" ht="15.75" thickBot="1" x14ac:dyDescent="0.3">
      <c r="D10" s="61" t="s">
        <v>189</v>
      </c>
      <c r="E10" s="61" t="s">
        <v>230</v>
      </c>
      <c r="F10" s="32" t="s">
        <v>231</v>
      </c>
      <c r="K10" s="2" t="s">
        <v>237</v>
      </c>
    </row>
    <row r="11" spans="2:21" x14ac:dyDescent="0.25">
      <c r="E11" s="33">
        <v>1</v>
      </c>
      <c r="F11" s="59" t="s">
        <v>190</v>
      </c>
      <c r="I11" t="s">
        <v>236</v>
      </c>
    </row>
    <row r="12" spans="2:21" x14ac:dyDescent="0.25">
      <c r="E12" s="33">
        <v>2</v>
      </c>
      <c r="F12" s="59" t="s">
        <v>191</v>
      </c>
    </row>
    <row r="13" spans="2:21" x14ac:dyDescent="0.25">
      <c r="E13" s="33">
        <v>3</v>
      </c>
      <c r="F13" s="59" t="s">
        <v>192</v>
      </c>
    </row>
    <row r="14" spans="2:21" x14ac:dyDescent="0.25">
      <c r="E14" s="33">
        <v>4</v>
      </c>
      <c r="F14" s="59" t="s">
        <v>193</v>
      </c>
    </row>
    <row r="15" spans="2:21" x14ac:dyDescent="0.25">
      <c r="E15" s="33">
        <v>6</v>
      </c>
      <c r="F15" s="59" t="s">
        <v>2</v>
      </c>
    </row>
    <row r="16" spans="2:21" x14ac:dyDescent="0.25">
      <c r="E16" s="33">
        <v>10</v>
      </c>
      <c r="F16" s="59" t="s">
        <v>194</v>
      </c>
    </row>
    <row r="17" spans="3:11" x14ac:dyDescent="0.25">
      <c r="E17" s="33">
        <v>11</v>
      </c>
      <c r="F17" s="59" t="s">
        <v>196</v>
      </c>
    </row>
    <row r="18" spans="3:11" x14ac:dyDescent="0.25">
      <c r="E18" s="33">
        <v>12</v>
      </c>
      <c r="F18" s="59" t="s">
        <v>195</v>
      </c>
    </row>
    <row r="19" spans="3:11" ht="15.75" thickBot="1" x14ac:dyDescent="0.3">
      <c r="E19" s="33">
        <v>13</v>
      </c>
      <c r="F19" s="60" t="s">
        <v>198</v>
      </c>
    </row>
    <row r="20" spans="3:11" ht="15.75" thickBot="1" x14ac:dyDescent="0.3">
      <c r="E20" s="33">
        <v>14</v>
      </c>
      <c r="F20" s="60" t="s">
        <v>197</v>
      </c>
      <c r="K20" s="31" t="s">
        <v>233</v>
      </c>
    </row>
    <row r="21" spans="3:11" x14ac:dyDescent="0.25">
      <c r="E21" s="33">
        <v>16</v>
      </c>
      <c r="F21" s="59" t="s">
        <v>5</v>
      </c>
      <c r="K21" s="2" t="s">
        <v>184</v>
      </c>
    </row>
    <row r="22" spans="3:11" ht="15.75" thickBot="1" x14ac:dyDescent="0.3">
      <c r="E22" s="33">
        <v>17</v>
      </c>
      <c r="F22" s="60" t="s">
        <v>199</v>
      </c>
    </row>
    <row r="23" spans="3:11" ht="15.75" thickBot="1" x14ac:dyDescent="0.3">
      <c r="E23" s="33"/>
      <c r="F23" s="60"/>
      <c r="K23" s="31" t="s">
        <v>185</v>
      </c>
    </row>
    <row r="24" spans="3:11" ht="15.75" thickBot="1" x14ac:dyDescent="0.3">
      <c r="C24" s="32" t="s">
        <v>226</v>
      </c>
      <c r="K24" s="2" t="s">
        <v>186</v>
      </c>
    </row>
    <row r="25" spans="3:11" ht="15.75" thickBot="1" x14ac:dyDescent="0.3">
      <c r="C25">
        <v>1</v>
      </c>
      <c r="D25" s="57" t="s">
        <v>210</v>
      </c>
      <c r="E25" s="57"/>
      <c r="F25" s="42" t="s">
        <v>0</v>
      </c>
    </row>
    <row r="26" spans="3:11" ht="15.75" thickBot="1" x14ac:dyDescent="0.3">
      <c r="C26">
        <v>2</v>
      </c>
      <c r="D26" s="58" t="s">
        <v>208</v>
      </c>
      <c r="K26" s="31" t="s">
        <v>187</v>
      </c>
    </row>
    <row r="27" spans="3:11" ht="15.75" thickBot="1" x14ac:dyDescent="0.3">
      <c r="C27">
        <v>3</v>
      </c>
      <c r="D27" s="55" t="s">
        <v>209</v>
      </c>
      <c r="E27" s="43"/>
      <c r="F27" s="43" t="s">
        <v>219</v>
      </c>
      <c r="G27" s="53" t="s">
        <v>207</v>
      </c>
      <c r="K27" s="2" t="s">
        <v>188</v>
      </c>
    </row>
    <row r="28" spans="3:11" ht="15.75" thickBot="1" x14ac:dyDescent="0.3">
      <c r="C28">
        <v>4</v>
      </c>
      <c r="D28" s="57" t="s">
        <v>214</v>
      </c>
      <c r="E28" s="42"/>
      <c r="F28" s="42" t="s">
        <v>211</v>
      </c>
    </row>
    <row r="29" spans="3:11" ht="15.75" thickBot="1" x14ac:dyDescent="0.3">
      <c r="C29">
        <v>5</v>
      </c>
      <c r="D29" s="56" t="s">
        <v>215</v>
      </c>
      <c r="E29" s="56"/>
      <c r="F29" s="52" t="s">
        <v>212</v>
      </c>
      <c r="G29" s="53" t="s">
        <v>207</v>
      </c>
      <c r="H29" t="s">
        <v>234</v>
      </c>
    </row>
    <row r="30" spans="3:11" ht="15.75" thickBot="1" x14ac:dyDescent="0.3">
      <c r="C30">
        <v>6</v>
      </c>
      <c r="D30" s="56" t="s">
        <v>216</v>
      </c>
      <c r="E30" s="56"/>
      <c r="F30" s="52" t="s">
        <v>213</v>
      </c>
      <c r="G30" s="53" t="s">
        <v>207</v>
      </c>
    </row>
    <row r="31" spans="3:11" ht="15.75" thickBot="1" x14ac:dyDescent="0.3">
      <c r="C31">
        <v>7</v>
      </c>
      <c r="D31" s="55" t="s">
        <v>220</v>
      </c>
      <c r="E31" s="43"/>
      <c r="F31" s="43" t="s">
        <v>218</v>
      </c>
      <c r="G31" s="53" t="s">
        <v>207</v>
      </c>
    </row>
    <row r="32" spans="3:11" x14ac:dyDescent="0.25">
      <c r="C32" t="s">
        <v>927</v>
      </c>
      <c r="D32" s="54" t="s">
        <v>221</v>
      </c>
      <c r="E32" s="54"/>
    </row>
    <row r="33" spans="3:6" x14ac:dyDescent="0.25">
      <c r="C33">
        <v>9</v>
      </c>
      <c r="D33" s="54" t="s">
        <v>235</v>
      </c>
      <c r="E33" s="54"/>
      <c r="F33" s="42" t="s">
        <v>3</v>
      </c>
    </row>
    <row r="34" spans="3:6" x14ac:dyDescent="0.25">
      <c r="C34">
        <v>10</v>
      </c>
      <c r="D34" s="54" t="s">
        <v>222</v>
      </c>
      <c r="E34" s="54"/>
    </row>
    <row r="35" spans="3:6" x14ac:dyDescent="0.25">
      <c r="C35">
        <v>11</v>
      </c>
      <c r="D35" s="54" t="s">
        <v>223</v>
      </c>
      <c r="E35" s="54"/>
    </row>
    <row r="36" spans="3:6" x14ac:dyDescent="0.25">
      <c r="C36">
        <v>12</v>
      </c>
      <c r="D36" s="54" t="s">
        <v>224</v>
      </c>
      <c r="E36" s="54"/>
    </row>
    <row r="37" spans="3:6" ht="15.75" thickBot="1" x14ac:dyDescent="0.3">
      <c r="C37">
        <v>13</v>
      </c>
      <c r="D37" s="54" t="s">
        <v>225</v>
      </c>
      <c r="E37" s="54"/>
    </row>
    <row r="38" spans="3:6" ht="15.75" thickBot="1" x14ac:dyDescent="0.3">
      <c r="C38" s="32" t="s">
        <v>232</v>
      </c>
    </row>
    <row r="39" spans="3:6" x14ac:dyDescent="0.25">
      <c r="D39" s="38" t="s">
        <v>227</v>
      </c>
      <c r="E39" s="38"/>
    </row>
  </sheetData>
  <mergeCells count="1">
    <mergeCell ref="D4:D5"/>
  </mergeCells>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912ED-916A-415E-9A1E-267AC55A3FBA}">
  <sheetPr codeName="Feuil3">
    <tabColor rgb="FF7030A0"/>
    <pageSetUpPr fitToPage="1"/>
  </sheetPr>
  <dimension ref="B1:Z70"/>
  <sheetViews>
    <sheetView zoomScaleNormal="100" workbookViewId="0">
      <selection activeCell="J6" sqref="J6"/>
    </sheetView>
  </sheetViews>
  <sheetFormatPr baseColWidth="10" defaultRowHeight="15" x14ac:dyDescent="0.25"/>
  <cols>
    <col min="1" max="1" width="1.85546875" customWidth="1"/>
    <col min="2" max="2" width="7" customWidth="1"/>
    <col min="3" max="3" width="37" customWidth="1"/>
    <col min="4" max="4" width="11.42578125" customWidth="1"/>
    <col min="5" max="5" width="9.140625" customWidth="1"/>
    <col min="6" max="6" width="20.28515625" customWidth="1"/>
    <col min="7" max="7" width="54.140625" bestFit="1" customWidth="1"/>
    <col min="8" max="8" width="40.85546875" customWidth="1"/>
    <col min="9" max="9" width="8.85546875" customWidth="1"/>
    <col min="10" max="10" width="43.140625" customWidth="1"/>
    <col min="11" max="11" width="24.85546875" customWidth="1"/>
    <col min="12" max="12" width="1.85546875" customWidth="1"/>
    <col min="13" max="13" width="23.7109375" bestFit="1" customWidth="1"/>
    <col min="14" max="14" width="9.28515625" bestFit="1" customWidth="1"/>
    <col min="15" max="15" width="13" bestFit="1" customWidth="1"/>
    <col min="16" max="16" width="8.140625" bestFit="1" customWidth="1"/>
    <col min="17" max="17" width="9.28515625" bestFit="1" customWidth="1"/>
    <col min="18" max="18" width="6.7109375" bestFit="1" customWidth="1"/>
    <col min="19" max="19" width="6" bestFit="1" customWidth="1"/>
    <col min="20" max="20" width="9.42578125" bestFit="1" customWidth="1"/>
    <col min="21" max="21" width="13.42578125" bestFit="1" customWidth="1"/>
    <col min="22" max="22" width="8.42578125" bestFit="1" customWidth="1"/>
    <col min="23" max="23" width="6.42578125" bestFit="1" customWidth="1"/>
    <col min="24" max="24" width="4.7109375" bestFit="1" customWidth="1"/>
    <col min="25" max="25" width="9.42578125" bestFit="1" customWidth="1"/>
    <col min="26" max="26" width="4.28515625" bestFit="1" customWidth="1"/>
  </cols>
  <sheetData>
    <row r="1" spans="2:26" ht="15.75" thickBot="1" x14ac:dyDescent="0.3"/>
    <row r="2" spans="2:26" ht="36.75" customHeight="1" thickBot="1" x14ac:dyDescent="0.3">
      <c r="I2" s="429" t="s">
        <v>803</v>
      </c>
      <c r="J2" s="430"/>
      <c r="Q2" s="413" t="s">
        <v>877</v>
      </c>
      <c r="R2" s="414"/>
      <c r="S2" s="414"/>
      <c r="T2" s="414"/>
      <c r="U2" s="415"/>
    </row>
    <row r="3" spans="2:26" ht="15.75" thickBot="1" x14ac:dyDescent="0.3">
      <c r="Q3" s="272" t="s">
        <v>879</v>
      </c>
      <c r="R3" s="272" t="s">
        <v>866</v>
      </c>
      <c r="S3" s="272" t="s">
        <v>868</v>
      </c>
      <c r="T3" s="272" t="s">
        <v>678</v>
      </c>
    </row>
    <row r="4" spans="2:26" ht="19.5" thickBot="1" x14ac:dyDescent="0.3">
      <c r="J4" s="271" t="s">
        <v>807</v>
      </c>
      <c r="M4" s="387" t="s">
        <v>156</v>
      </c>
    </row>
    <row r="5" spans="2:26" ht="38.25" thickBot="1" x14ac:dyDescent="0.3">
      <c r="C5" s="110" t="s">
        <v>576</v>
      </c>
      <c r="D5" s="192" t="s">
        <v>572</v>
      </c>
      <c r="E5" s="110" t="s">
        <v>575</v>
      </c>
      <c r="F5" s="110" t="s">
        <v>577</v>
      </c>
      <c r="G5" s="110" t="s">
        <v>849</v>
      </c>
      <c r="H5" s="110" t="s">
        <v>791</v>
      </c>
      <c r="I5" s="110" t="s">
        <v>806</v>
      </c>
      <c r="J5" s="110" t="s">
        <v>802</v>
      </c>
    </row>
    <row r="6" spans="2:26" x14ac:dyDescent="0.25">
      <c r="B6" s="420" t="s">
        <v>356</v>
      </c>
      <c r="C6" s="283" t="str">
        <f>_xlfn.CONCAT("D-",E6,"_","(",F6,")","_",D6)</f>
        <v>D-01.01_(Bur.Loy)_613</v>
      </c>
      <c r="D6" s="274">
        <v>613</v>
      </c>
      <c r="E6" s="289" t="s">
        <v>732</v>
      </c>
      <c r="F6" s="289" t="s">
        <v>808</v>
      </c>
      <c r="G6" s="107" t="s">
        <v>756</v>
      </c>
      <c r="H6" s="105"/>
      <c r="I6" s="105"/>
      <c r="J6" s="91" t="str">
        <f>_xlfn.CONCAT($J$4,"_","(",F6,")","_")</f>
        <v>aaaa.mm.jj_(Bur.Loy)_</v>
      </c>
      <c r="K6" t="str">
        <f>_xlfn.CONCAT($J$4,"_","(",E6,")","_")</f>
        <v>aaaa.mm.jj_(01.01)_</v>
      </c>
      <c r="M6" s="390" t="s">
        <v>10</v>
      </c>
      <c r="N6" s="391"/>
      <c r="O6" s="391"/>
      <c r="P6" s="391"/>
      <c r="Q6" s="391"/>
      <c r="R6" s="391"/>
      <c r="S6" s="391"/>
      <c r="T6" s="391"/>
      <c r="U6" s="391"/>
      <c r="V6" s="391"/>
      <c r="W6" s="391"/>
      <c r="X6" s="391"/>
      <c r="Y6" s="391"/>
      <c r="Z6" s="391"/>
    </row>
    <row r="7" spans="2:26" x14ac:dyDescent="0.25">
      <c r="B7" s="421"/>
      <c r="C7" s="284" t="str">
        <f t="shared" ref="C7:C17" si="0">_xlfn.CONCAT("D-",E7,"_","(",F7,")","_",D7)</f>
        <v>D-01.02_(Bur.Ass)_616</v>
      </c>
      <c r="D7" s="104">
        <v>616</v>
      </c>
      <c r="E7" s="126" t="s">
        <v>733</v>
      </c>
      <c r="F7" s="126" t="s">
        <v>809</v>
      </c>
      <c r="G7" s="108" t="s">
        <v>757</v>
      </c>
      <c r="H7" s="103" t="s">
        <v>795</v>
      </c>
      <c r="I7" s="103"/>
      <c r="J7" s="287" t="str">
        <f t="shared" ref="J7:J36" si="1">_xlfn.CONCAT($J$4,"_","(",F7,")","_")</f>
        <v>aaaa.mm.jj_(Bur.Ass)_</v>
      </c>
      <c r="K7" t="str">
        <f t="shared" ref="K7:K35" si="2">_xlfn.CONCAT($J$4,"_","(",E7,")","_")</f>
        <v>aaaa.mm.jj_(01.02)_</v>
      </c>
      <c r="M7" s="391" t="s">
        <v>296</v>
      </c>
      <c r="N7" s="391"/>
      <c r="O7" s="391"/>
      <c r="P7" s="391"/>
      <c r="Q7" s="391"/>
      <c r="R7" s="391"/>
      <c r="S7" s="391"/>
      <c r="T7" s="391"/>
      <c r="U7" s="391"/>
      <c r="V7" s="391"/>
      <c r="W7" s="391"/>
      <c r="X7" s="391"/>
      <c r="Y7" s="391"/>
      <c r="Z7" s="391"/>
    </row>
    <row r="8" spans="2:26" x14ac:dyDescent="0.25">
      <c r="B8" s="421"/>
      <c r="C8" s="284" t="str">
        <f t="shared" si="0"/>
        <v>D-01.03_(Bur.Charg)_613</v>
      </c>
      <c r="D8" s="104">
        <v>613</v>
      </c>
      <c r="E8" s="126" t="s">
        <v>734</v>
      </c>
      <c r="F8" s="126" t="s">
        <v>810</v>
      </c>
      <c r="G8" s="108" t="s">
        <v>758</v>
      </c>
      <c r="H8" s="103"/>
      <c r="I8" s="103"/>
      <c r="J8" s="287" t="str">
        <f t="shared" si="1"/>
        <v>aaaa.mm.jj_(Bur.Charg)_</v>
      </c>
      <c r="K8" t="str">
        <f t="shared" si="2"/>
        <v>aaaa.mm.jj_(01.03)_</v>
      </c>
      <c r="M8" s="391" t="s">
        <v>851</v>
      </c>
      <c r="N8" s="391"/>
      <c r="O8" s="391"/>
      <c r="P8" s="391"/>
      <c r="Q8" s="391"/>
      <c r="R8" s="391"/>
      <c r="S8" s="391"/>
      <c r="T8" s="391"/>
      <c r="U8" s="391"/>
      <c r="V8" s="391"/>
      <c r="W8" s="391"/>
      <c r="X8" s="391"/>
      <c r="Y8" s="391"/>
      <c r="Z8" s="391"/>
    </row>
    <row r="9" spans="2:26" x14ac:dyDescent="0.25">
      <c r="B9" s="421"/>
      <c r="C9" s="284" t="str">
        <f t="shared" si="0"/>
        <v>D-01.04_(Bur.Tel)_6161</v>
      </c>
      <c r="D9" s="104">
        <v>6161</v>
      </c>
      <c r="E9" s="126" t="s">
        <v>735</v>
      </c>
      <c r="F9" s="126" t="s">
        <v>811</v>
      </c>
      <c r="G9" s="108" t="s">
        <v>759</v>
      </c>
      <c r="H9" s="103"/>
      <c r="I9" s="103"/>
      <c r="J9" s="287" t="str">
        <f t="shared" si="1"/>
        <v>aaaa.mm.jj_(Bur.Tel)_</v>
      </c>
      <c r="K9" t="str">
        <f t="shared" si="2"/>
        <v>aaaa.mm.jj_(01.04)_</v>
      </c>
      <c r="M9" s="390" t="s">
        <v>243</v>
      </c>
      <c r="N9" s="391"/>
      <c r="O9" s="391"/>
      <c r="P9" s="391"/>
      <c r="Q9" s="391"/>
      <c r="R9" s="391"/>
      <c r="S9" s="391"/>
      <c r="T9" s="391"/>
      <c r="U9" s="391"/>
      <c r="V9" s="391"/>
      <c r="W9" s="391"/>
      <c r="X9" s="391"/>
      <c r="Y9" s="391"/>
      <c r="Z9" s="391"/>
    </row>
    <row r="10" spans="2:26" x14ac:dyDescent="0.25">
      <c r="B10" s="421"/>
      <c r="C10" s="284" t="str">
        <f t="shared" si="0"/>
        <v>D-01.05_(Bur.Frai.banc.)_657</v>
      </c>
      <c r="D10" s="104">
        <v>657</v>
      </c>
      <c r="E10" s="126" t="s">
        <v>736</v>
      </c>
      <c r="F10" s="126" t="s">
        <v>812</v>
      </c>
      <c r="G10" s="108" t="s">
        <v>778</v>
      </c>
      <c r="H10" s="103" t="s">
        <v>627</v>
      </c>
      <c r="I10" s="103"/>
      <c r="J10" s="287" t="str">
        <f t="shared" si="1"/>
        <v>aaaa.mm.jj_(Bur.Frai.banc.)_</v>
      </c>
      <c r="K10" t="str">
        <f t="shared" si="2"/>
        <v>aaaa.mm.jj_(01.05)_</v>
      </c>
      <c r="M10" s="390" t="s">
        <v>720</v>
      </c>
      <c r="N10" s="391"/>
      <c r="O10" s="391"/>
      <c r="P10" s="391"/>
      <c r="Q10" s="391"/>
      <c r="R10" s="391"/>
      <c r="S10" s="391"/>
      <c r="T10" s="391"/>
      <c r="U10" s="391"/>
      <c r="V10" s="391"/>
      <c r="W10" s="391"/>
      <c r="X10" s="391"/>
      <c r="Y10" s="391"/>
      <c r="Z10" s="391"/>
    </row>
    <row r="11" spans="2:26" x14ac:dyDescent="0.25">
      <c r="B11" s="421"/>
      <c r="C11" s="284" t="str">
        <f t="shared" si="0"/>
        <v>D-01.06_(Bur.Frai.lég.)_6164</v>
      </c>
      <c r="D11" s="104">
        <v>6164</v>
      </c>
      <c r="E11" s="126" t="s">
        <v>737</v>
      </c>
      <c r="F11" s="126" t="s">
        <v>813</v>
      </c>
      <c r="G11" s="108" t="s">
        <v>794</v>
      </c>
      <c r="H11" s="103" t="s">
        <v>634</v>
      </c>
      <c r="I11" s="103"/>
      <c r="J11" s="287" t="str">
        <f t="shared" si="1"/>
        <v>aaaa.mm.jj_(Bur.Frai.lég.)_</v>
      </c>
      <c r="K11" t="str">
        <f t="shared" si="2"/>
        <v>aaaa.mm.jj_(01.06)_</v>
      </c>
      <c r="M11" s="390" t="s">
        <v>853</v>
      </c>
      <c r="N11" s="391"/>
      <c r="O11" s="391"/>
      <c r="P11" s="391"/>
      <c r="Q11" s="391"/>
      <c r="R11" s="391"/>
      <c r="S11" s="391"/>
      <c r="T11" s="391"/>
      <c r="U11" s="391"/>
      <c r="V11" s="391"/>
      <c r="W11" s="391"/>
      <c r="X11" s="391"/>
      <c r="Y11" s="391"/>
      <c r="Z11" s="391"/>
    </row>
    <row r="12" spans="2:26" x14ac:dyDescent="0.25">
      <c r="B12" s="421"/>
      <c r="C12" s="284" t="str">
        <f t="shared" si="0"/>
        <v>D-01.07_(Bur.Alim)_60</v>
      </c>
      <c r="D12" s="104">
        <v>60</v>
      </c>
      <c r="E12" s="126" t="s">
        <v>781</v>
      </c>
      <c r="F12" s="126" t="s">
        <v>814</v>
      </c>
      <c r="G12" s="108" t="s">
        <v>779</v>
      </c>
      <c r="H12" s="103"/>
      <c r="I12" s="103"/>
      <c r="J12" s="287" t="str">
        <f t="shared" si="1"/>
        <v>aaaa.mm.jj_(Bur.Alim)_</v>
      </c>
      <c r="K12" t="str">
        <f t="shared" si="2"/>
        <v>aaaa.mm.jj_(01.07)_</v>
      </c>
      <c r="M12" s="390" t="s">
        <v>854</v>
      </c>
      <c r="N12" s="401" t="s">
        <v>855</v>
      </c>
      <c r="O12" s="401" t="s">
        <v>856</v>
      </c>
      <c r="P12" s="402" t="s">
        <v>860</v>
      </c>
      <c r="Q12" s="402" t="s">
        <v>867</v>
      </c>
      <c r="R12" s="402" t="s">
        <v>882</v>
      </c>
      <c r="S12" s="402" t="s">
        <v>872</v>
      </c>
      <c r="T12" s="402" t="s">
        <v>880</v>
      </c>
      <c r="U12" s="402" t="s">
        <v>881</v>
      </c>
      <c r="V12" s="402" t="s">
        <v>873</v>
      </c>
      <c r="W12" s="402" t="s">
        <v>883</v>
      </c>
      <c r="X12" s="402" t="s">
        <v>885</v>
      </c>
      <c r="Y12" s="402" t="s">
        <v>871</v>
      </c>
      <c r="Z12" s="402" t="s">
        <v>886</v>
      </c>
    </row>
    <row r="13" spans="2:26" x14ac:dyDescent="0.25">
      <c r="B13" s="421"/>
      <c r="C13" s="284" t="str">
        <f t="shared" si="0"/>
        <v>D-01.08_(Bur.Ani)_60</v>
      </c>
      <c r="D13" s="104">
        <v>60</v>
      </c>
      <c r="E13" s="126" t="s">
        <v>782</v>
      </c>
      <c r="F13" s="126" t="s">
        <v>815</v>
      </c>
      <c r="G13" s="108" t="s">
        <v>780</v>
      </c>
      <c r="H13" s="103"/>
      <c r="I13" s="103"/>
      <c r="J13" s="287" t="str">
        <f t="shared" si="1"/>
        <v>aaaa.mm.jj_(Bur.Ani)_</v>
      </c>
      <c r="K13" t="str">
        <f t="shared" si="2"/>
        <v>aaaa.mm.jj_(01.08)_</v>
      </c>
      <c r="M13" s="391" t="s">
        <v>862</v>
      </c>
      <c r="N13" s="391" t="s">
        <v>870</v>
      </c>
      <c r="O13" s="391"/>
      <c r="P13" s="391"/>
      <c r="Q13" s="391"/>
      <c r="R13" s="394"/>
      <c r="S13" s="394"/>
      <c r="T13" s="394"/>
      <c r="U13" s="394"/>
      <c r="V13" s="394"/>
      <c r="W13" s="394"/>
      <c r="X13" s="394"/>
      <c r="Y13" s="391"/>
      <c r="Z13" s="391"/>
    </row>
    <row r="14" spans="2:26" x14ac:dyDescent="0.25">
      <c r="B14" s="421"/>
      <c r="C14" s="284" t="str">
        <f t="shared" si="0"/>
        <v>D-02.01_(RH.Ass)_622</v>
      </c>
      <c r="D14" s="104">
        <v>622</v>
      </c>
      <c r="E14" s="290" t="s">
        <v>738</v>
      </c>
      <c r="F14" s="290" t="s">
        <v>816</v>
      </c>
      <c r="G14" s="371" t="s">
        <v>760</v>
      </c>
      <c r="H14" s="103" t="s">
        <v>654</v>
      </c>
      <c r="I14" s="103"/>
      <c r="J14" s="287" t="str">
        <f t="shared" si="1"/>
        <v>aaaa.mm.jj_(RH.Ass)_</v>
      </c>
      <c r="K14" t="str">
        <f t="shared" si="2"/>
        <v>aaaa.mm.jj_(02.01)_</v>
      </c>
      <c r="M14" s="388" t="s">
        <v>354</v>
      </c>
      <c r="N14" s="389"/>
      <c r="O14" s="389"/>
      <c r="P14" s="389"/>
      <c r="Q14" s="389"/>
      <c r="R14" s="389"/>
      <c r="S14" s="389"/>
      <c r="T14" s="389"/>
      <c r="U14" s="389"/>
      <c r="V14" s="389"/>
      <c r="W14" s="389"/>
      <c r="X14" s="389"/>
      <c r="Y14" s="389"/>
      <c r="Z14" s="389"/>
    </row>
    <row r="15" spans="2:26" x14ac:dyDescent="0.25">
      <c r="B15" s="421"/>
      <c r="C15" s="284" t="str">
        <f t="shared" si="0"/>
        <v>D-02.02.1_(RH.UCM.Salaire)_620</v>
      </c>
      <c r="D15" s="104">
        <v>620</v>
      </c>
      <c r="E15" s="290" t="s">
        <v>747</v>
      </c>
      <c r="F15" s="290" t="s">
        <v>817</v>
      </c>
      <c r="G15" s="371" t="s">
        <v>761</v>
      </c>
      <c r="H15" s="103" t="s">
        <v>652</v>
      </c>
      <c r="I15" s="103"/>
      <c r="J15" s="287" t="str">
        <f t="shared" si="1"/>
        <v>aaaa.mm.jj_(RH.UCM.Salaire)_</v>
      </c>
      <c r="K15" t="str">
        <f t="shared" si="2"/>
        <v>aaaa.mm.jj_(02.02.1)_</v>
      </c>
      <c r="M15" s="389" t="s">
        <v>324</v>
      </c>
      <c r="N15" s="389"/>
      <c r="O15" s="389"/>
      <c r="P15" s="389"/>
      <c r="Q15" s="389"/>
      <c r="R15" s="389"/>
      <c r="S15" s="389"/>
      <c r="T15" s="389"/>
      <c r="U15" s="389"/>
      <c r="V15" s="389"/>
      <c r="W15" s="389"/>
      <c r="X15" s="389"/>
      <c r="Y15" s="389"/>
      <c r="Z15" s="389"/>
    </row>
    <row r="16" spans="2:26" x14ac:dyDescent="0.25">
      <c r="B16" s="421"/>
      <c r="C16" s="284" t="str">
        <f t="shared" si="0"/>
        <v>D-02.02.2_(RH.UCM.ONSS)_621</v>
      </c>
      <c r="D16" s="104">
        <v>621</v>
      </c>
      <c r="E16" s="290" t="s">
        <v>748</v>
      </c>
      <c r="F16" s="290" t="s">
        <v>818</v>
      </c>
      <c r="G16" s="371" t="s">
        <v>762</v>
      </c>
      <c r="H16" s="103" t="s">
        <v>653</v>
      </c>
      <c r="I16" s="103"/>
      <c r="J16" s="287" t="str">
        <f t="shared" si="1"/>
        <v>aaaa.mm.jj_(RH.UCM.ONSS)_</v>
      </c>
      <c r="K16" t="str">
        <f t="shared" si="2"/>
        <v>aaaa.mm.jj_(02.02.2)_</v>
      </c>
      <c r="M16" s="388"/>
      <c r="N16" s="389"/>
      <c r="O16" s="389"/>
      <c r="P16" s="389"/>
      <c r="Q16" s="389"/>
      <c r="R16" s="389"/>
      <c r="S16" s="389"/>
      <c r="T16" s="389"/>
      <c r="U16" s="389"/>
      <c r="V16" s="389"/>
      <c r="W16" s="389"/>
      <c r="X16" s="389"/>
      <c r="Y16" s="389"/>
      <c r="Z16" s="389"/>
    </row>
    <row r="17" spans="2:26" x14ac:dyDescent="0.25">
      <c r="B17" s="421"/>
      <c r="C17" s="284" t="str">
        <f t="shared" si="0"/>
        <v>D-02.02.3_(RH.UCM.Preco)_621</v>
      </c>
      <c r="D17" s="104">
        <v>621</v>
      </c>
      <c r="E17" s="290" t="s">
        <v>749</v>
      </c>
      <c r="F17" s="290" t="s">
        <v>819</v>
      </c>
      <c r="G17" s="371" t="s">
        <v>763</v>
      </c>
      <c r="H17" s="103"/>
      <c r="I17" s="103"/>
      <c r="J17" s="287" t="str">
        <f t="shared" si="1"/>
        <v>aaaa.mm.jj_(RH.UCM.Preco)_</v>
      </c>
      <c r="K17" t="str">
        <f t="shared" si="2"/>
        <v>aaaa.mm.jj_(02.02.3)_</v>
      </c>
      <c r="M17" s="388"/>
      <c r="N17" s="389"/>
      <c r="O17" s="389"/>
      <c r="P17" s="389"/>
      <c r="Q17" s="389"/>
      <c r="R17" s="389"/>
      <c r="S17" s="389"/>
      <c r="T17" s="389"/>
      <c r="U17" s="389"/>
      <c r="V17" s="389"/>
      <c r="W17" s="389"/>
      <c r="X17" s="389"/>
      <c r="Y17" s="389"/>
      <c r="Z17" s="389"/>
    </row>
    <row r="18" spans="2:26" x14ac:dyDescent="0.25">
      <c r="B18" s="421"/>
      <c r="C18" s="284" t="str">
        <f>_xlfn.CONCAT("D-",E18,"_","(",F18,")","_",D18)</f>
        <v>D-02.02.4_(RH.UCM.FraiGest)_623</v>
      </c>
      <c r="D18" s="104">
        <v>623</v>
      </c>
      <c r="E18" s="290" t="s">
        <v>750</v>
      </c>
      <c r="F18" s="290" t="s">
        <v>820</v>
      </c>
      <c r="G18" s="371" t="s">
        <v>764</v>
      </c>
      <c r="H18" s="103" t="s">
        <v>655</v>
      </c>
      <c r="I18" s="103"/>
      <c r="J18" s="287" t="str">
        <f t="shared" si="1"/>
        <v>aaaa.mm.jj_(RH.UCM.FraiGest)_</v>
      </c>
      <c r="K18" t="str">
        <f t="shared" si="2"/>
        <v>aaaa.mm.jj_(02.02.4)_</v>
      </c>
      <c r="M18" s="388" t="s">
        <v>333</v>
      </c>
      <c r="N18" s="389" t="s">
        <v>722</v>
      </c>
      <c r="O18" s="389"/>
      <c r="P18" s="389"/>
      <c r="Q18" s="389"/>
      <c r="R18" s="389"/>
      <c r="S18" s="389"/>
      <c r="T18" s="389"/>
      <c r="U18" s="389"/>
      <c r="V18" s="389"/>
      <c r="W18" s="389"/>
      <c r="X18" s="389"/>
      <c r="Y18" s="389"/>
      <c r="Z18" s="389"/>
    </row>
    <row r="19" spans="2:26" x14ac:dyDescent="0.25">
      <c r="B19" s="421"/>
      <c r="C19" s="285"/>
      <c r="D19" s="275" t="s">
        <v>478</v>
      </c>
      <c r="E19" s="291" t="s">
        <v>751</v>
      </c>
      <c r="F19" s="291" t="s">
        <v>821</v>
      </c>
      <c r="G19" s="397" t="s">
        <v>765</v>
      </c>
      <c r="H19" s="103"/>
      <c r="I19" s="103"/>
      <c r="J19" s="287" t="str">
        <f t="shared" si="1"/>
        <v>aaaa.mm.jj_(RH.UCM.EcrComp)_</v>
      </c>
      <c r="K19" t="str">
        <f t="shared" si="2"/>
        <v>aaaa.mm.jj_(02.02.5)_</v>
      </c>
      <c r="M19" s="398"/>
      <c r="N19" s="399"/>
      <c r="O19" s="399"/>
      <c r="P19" s="399"/>
      <c r="Q19" s="399"/>
      <c r="R19" s="399"/>
      <c r="S19" s="399"/>
      <c r="T19" s="399"/>
      <c r="U19" s="399"/>
      <c r="V19" s="399"/>
      <c r="W19" s="399"/>
      <c r="X19" s="399"/>
      <c r="Y19" s="399"/>
      <c r="Z19" s="399"/>
    </row>
    <row r="20" spans="2:26" x14ac:dyDescent="0.25">
      <c r="B20" s="421"/>
      <c r="C20" s="285"/>
      <c r="D20" s="275" t="s">
        <v>478</v>
      </c>
      <c r="E20" s="291" t="s">
        <v>752</v>
      </c>
      <c r="F20" s="291" t="s">
        <v>822</v>
      </c>
      <c r="G20" s="397" t="s">
        <v>766</v>
      </c>
      <c r="H20" s="103"/>
      <c r="I20" s="103"/>
      <c r="J20" s="287" t="str">
        <f t="shared" si="1"/>
        <v>aaaa.mm.jj_(RH.NdF.DocW)_</v>
      </c>
      <c r="K20" t="str">
        <f t="shared" si="2"/>
        <v>aaaa.mm.jj_(02.03.1)_</v>
      </c>
      <c r="M20" s="398"/>
      <c r="N20" s="399"/>
      <c r="O20" s="399"/>
      <c r="P20" s="399"/>
      <c r="Q20" s="399"/>
      <c r="R20" s="399"/>
      <c r="S20" s="399"/>
      <c r="T20" s="399"/>
      <c r="U20" s="399"/>
      <c r="V20" s="399"/>
      <c r="W20" s="399"/>
      <c r="X20" s="399"/>
      <c r="Y20" s="399"/>
      <c r="Z20" s="399"/>
    </row>
    <row r="21" spans="2:26" x14ac:dyDescent="0.25">
      <c r="B21" s="421"/>
      <c r="C21" s="285"/>
      <c r="D21" s="275" t="s">
        <v>478</v>
      </c>
      <c r="E21" s="291" t="s">
        <v>753</v>
      </c>
      <c r="F21" s="291" t="s">
        <v>823</v>
      </c>
      <c r="G21" s="397" t="s">
        <v>767</v>
      </c>
      <c r="H21" s="103"/>
      <c r="I21" s="103"/>
      <c r="J21" s="287" t="str">
        <f t="shared" si="1"/>
        <v>aaaa.mm.jj_(RH.NdF.PiecJust)_</v>
      </c>
      <c r="K21" t="str">
        <f t="shared" si="2"/>
        <v>aaaa.mm.jj_(02.03.2)_</v>
      </c>
      <c r="M21" s="398"/>
      <c r="N21" s="399"/>
      <c r="O21" s="399"/>
      <c r="P21" s="399"/>
      <c r="Q21" s="399"/>
      <c r="R21" s="399"/>
      <c r="S21" s="399"/>
      <c r="T21" s="399"/>
      <c r="U21" s="399"/>
      <c r="V21" s="399"/>
      <c r="W21" s="399"/>
      <c r="X21" s="399"/>
      <c r="Y21" s="399"/>
      <c r="Z21" s="399"/>
    </row>
    <row r="22" spans="2:26" ht="38.25" x14ac:dyDescent="0.25">
      <c r="B22" s="421"/>
      <c r="C22" s="286" t="str">
        <f>_xlfn.CONCAT("D-",E22,"_","(",F22,")","_",D22)</f>
        <v>D-02.03.3_(RH.NdF.FinPDF)_60-61-624</v>
      </c>
      <c r="D22" s="104" t="s">
        <v>769</v>
      </c>
      <c r="E22" s="290" t="s">
        <v>754</v>
      </c>
      <c r="F22" s="290" t="s">
        <v>824</v>
      </c>
      <c r="G22" s="372" t="s">
        <v>768</v>
      </c>
      <c r="H22" s="300" t="s">
        <v>755</v>
      </c>
      <c r="I22" s="103"/>
      <c r="J22" s="288" t="str">
        <f t="shared" si="1"/>
        <v>aaaa.mm.jj_(RH.NdF.FinPDF)_</v>
      </c>
      <c r="K22" s="161" t="str">
        <f t="shared" si="2"/>
        <v>aaaa.mm.jj_(02.03.3)_</v>
      </c>
      <c r="M22" s="388"/>
      <c r="N22" s="389"/>
      <c r="O22" s="389"/>
      <c r="P22" s="389"/>
      <c r="Q22" s="389"/>
      <c r="R22" s="389"/>
      <c r="S22" s="389"/>
      <c r="T22" s="389"/>
      <c r="U22" s="389"/>
      <c r="V22" s="389"/>
      <c r="W22" s="389"/>
      <c r="X22" s="389"/>
      <c r="Y22" s="389"/>
      <c r="Z22" s="389"/>
    </row>
    <row r="23" spans="2:26" x14ac:dyDescent="0.25">
      <c r="B23" s="421"/>
      <c r="C23" s="286" t="str">
        <f t="shared" ref="C23:C35" si="3">_xlfn.CONCAT("D-",E23,"_","(",F23,")","_",D23)</f>
        <v>D-03.01.1.1_(FF.IT.Web.Heberg.)_6162</v>
      </c>
      <c r="D23" s="104">
        <v>6162</v>
      </c>
      <c r="E23" s="292" t="s">
        <v>746</v>
      </c>
      <c r="F23" s="373" t="s">
        <v>825</v>
      </c>
      <c r="G23" s="373" t="s">
        <v>770</v>
      </c>
      <c r="H23" s="103"/>
      <c r="I23" s="103"/>
      <c r="J23" s="287" t="str">
        <f t="shared" si="1"/>
        <v>aaaa.mm.jj_(FF.IT.Web.Heberg.)_</v>
      </c>
      <c r="K23" t="str">
        <f t="shared" si="2"/>
        <v>aaaa.mm.jj_(03.01.1.1)_</v>
      </c>
      <c r="M23" s="392" t="s">
        <v>694</v>
      </c>
      <c r="N23" s="392"/>
      <c r="O23" s="392"/>
      <c r="P23" s="392"/>
      <c r="Q23" s="392"/>
      <c r="R23" s="392"/>
      <c r="S23" s="392"/>
      <c r="T23" s="392"/>
      <c r="U23" s="392"/>
      <c r="V23" s="392"/>
      <c r="W23" s="392"/>
      <c r="X23" s="392"/>
      <c r="Y23" s="392"/>
      <c r="Z23" s="392"/>
    </row>
    <row r="24" spans="2:26" x14ac:dyDescent="0.25">
      <c r="B24" s="421"/>
      <c r="C24" s="286" t="str">
        <f t="shared" si="3"/>
        <v>D-03.01.1.2_(FF.IT.Web.Serv.abo.)_6162</v>
      </c>
      <c r="D24" s="104">
        <v>6162</v>
      </c>
      <c r="E24" s="292" t="s">
        <v>745</v>
      </c>
      <c r="F24" s="373" t="s">
        <v>826</v>
      </c>
      <c r="G24" s="374" t="s">
        <v>771</v>
      </c>
      <c r="H24" s="103"/>
      <c r="I24" s="103"/>
      <c r="J24" s="287" t="str">
        <f t="shared" si="1"/>
        <v>aaaa.mm.jj_(FF.IT.Web.Serv.abo.)_</v>
      </c>
      <c r="K24" t="str">
        <f t="shared" si="2"/>
        <v>aaaa.mm.jj_(03.01.1.2)_</v>
      </c>
      <c r="M24" s="393" t="s">
        <v>876</v>
      </c>
      <c r="N24" s="392"/>
      <c r="O24" s="392"/>
      <c r="P24" s="392"/>
      <c r="Q24" s="392"/>
      <c r="R24" s="392"/>
      <c r="S24" s="392"/>
      <c r="T24" s="392"/>
      <c r="U24" s="392"/>
      <c r="V24" s="392"/>
      <c r="W24" s="392"/>
      <c r="X24" s="392"/>
      <c r="Y24" s="392"/>
      <c r="Z24" s="392"/>
    </row>
    <row r="25" spans="2:26" x14ac:dyDescent="0.25">
      <c r="B25" s="421"/>
      <c r="C25" s="286" t="str">
        <f t="shared" si="3"/>
        <v>D-03.01.2_(FF.IT.Soft)_6163</v>
      </c>
      <c r="D25" s="104">
        <v>6163</v>
      </c>
      <c r="E25" s="292" t="s">
        <v>744</v>
      </c>
      <c r="F25" s="373" t="s">
        <v>827</v>
      </c>
      <c r="G25" s="374" t="s">
        <v>772</v>
      </c>
      <c r="H25" s="103"/>
      <c r="I25" s="103"/>
      <c r="J25" s="287" t="str">
        <f t="shared" si="1"/>
        <v>aaaa.mm.jj_(FF.IT.Soft)_</v>
      </c>
      <c r="K25" t="str">
        <f t="shared" si="2"/>
        <v>aaaa.mm.jj_(03.01.2)_</v>
      </c>
      <c r="M25" s="393"/>
      <c r="N25" s="392"/>
      <c r="O25" s="392"/>
      <c r="P25" s="392"/>
      <c r="Q25" s="392"/>
      <c r="R25" s="392"/>
      <c r="S25" s="392"/>
      <c r="T25" s="392"/>
      <c r="U25" s="392"/>
      <c r="V25" s="392"/>
      <c r="W25" s="392"/>
      <c r="X25" s="392"/>
      <c r="Y25" s="392"/>
      <c r="Z25" s="392"/>
    </row>
    <row r="26" spans="2:26" x14ac:dyDescent="0.25">
      <c r="B26" s="421"/>
      <c r="C26" s="286" t="str">
        <f t="shared" si="3"/>
        <v>D-03.01.3_(FF.IT.Hard)_6163</v>
      </c>
      <c r="D26" s="104">
        <v>6163</v>
      </c>
      <c r="E26" s="292" t="s">
        <v>743</v>
      </c>
      <c r="F26" s="373" t="s">
        <v>836</v>
      </c>
      <c r="G26" s="374" t="s">
        <v>773</v>
      </c>
      <c r="H26" s="103"/>
      <c r="I26" s="103"/>
      <c r="J26" s="287" t="str">
        <f t="shared" si="1"/>
        <v>aaaa.mm.jj_(FF.IT.Hard)_</v>
      </c>
      <c r="K26" t="str">
        <f t="shared" si="2"/>
        <v>aaaa.mm.jj_(03.01.3)_</v>
      </c>
      <c r="M26" s="393"/>
      <c r="N26" s="392"/>
      <c r="O26" s="392"/>
      <c r="P26" s="392"/>
      <c r="Q26" s="392"/>
      <c r="R26" s="392"/>
      <c r="S26" s="392"/>
      <c r="T26" s="392"/>
      <c r="U26" s="392"/>
      <c r="V26" s="392"/>
      <c r="W26" s="392"/>
      <c r="X26" s="392"/>
      <c r="Y26" s="392"/>
      <c r="Z26" s="392"/>
    </row>
    <row r="27" spans="2:26" x14ac:dyDescent="0.25">
      <c r="B27" s="421"/>
      <c r="C27" s="286" t="str">
        <f t="shared" si="3"/>
        <v>D-03.02.1_(FF.Doc.Liv)_641</v>
      </c>
      <c r="D27" s="104">
        <v>641</v>
      </c>
      <c r="E27" s="292" t="s">
        <v>742</v>
      </c>
      <c r="F27" s="373" t="s">
        <v>837</v>
      </c>
      <c r="G27" s="374" t="s">
        <v>774</v>
      </c>
      <c r="H27" s="103" t="s">
        <v>657</v>
      </c>
      <c r="I27" s="103"/>
      <c r="J27" s="287" t="str">
        <f t="shared" si="1"/>
        <v>aaaa.mm.jj_(FF.Doc.Liv)_</v>
      </c>
      <c r="K27" t="str">
        <f t="shared" si="2"/>
        <v>aaaa.mm.jj_(03.02.1)_</v>
      </c>
      <c r="M27" s="393" t="s">
        <v>878</v>
      </c>
      <c r="N27" s="392" t="s">
        <v>864</v>
      </c>
      <c r="O27" s="392" t="s">
        <v>888</v>
      </c>
      <c r="P27" s="392" t="s">
        <v>861</v>
      </c>
      <c r="Q27" s="392" t="s">
        <v>264</v>
      </c>
      <c r="R27" s="392"/>
      <c r="S27" s="392"/>
      <c r="T27" s="392"/>
      <c r="U27" s="392"/>
      <c r="V27" s="392"/>
      <c r="W27" s="392"/>
      <c r="X27" s="392"/>
      <c r="Y27" s="392"/>
      <c r="Z27" s="392"/>
    </row>
    <row r="28" spans="2:26" x14ac:dyDescent="0.25">
      <c r="B28" s="421"/>
      <c r="C28" s="286" t="str">
        <f t="shared" si="3"/>
        <v>D-03.02.2_(FF.Doc.Jur)_6413</v>
      </c>
      <c r="D28" s="104">
        <v>6413</v>
      </c>
      <c r="E28" s="292" t="s">
        <v>741</v>
      </c>
      <c r="F28" s="373" t="s">
        <v>838</v>
      </c>
      <c r="G28" s="374" t="s">
        <v>775</v>
      </c>
      <c r="H28" s="103" t="s">
        <v>658</v>
      </c>
      <c r="I28" s="103"/>
      <c r="J28" s="287" t="str">
        <f t="shared" si="1"/>
        <v>aaaa.mm.jj_(FF.Doc.Jur)_</v>
      </c>
      <c r="K28" t="str">
        <f t="shared" si="2"/>
        <v>aaaa.mm.jj_(03.02.2)_</v>
      </c>
      <c r="M28" s="393" t="s">
        <v>875</v>
      </c>
      <c r="N28" s="392"/>
      <c r="O28" s="392"/>
      <c r="P28" s="392"/>
      <c r="Q28" s="392"/>
      <c r="R28" s="392"/>
      <c r="S28" s="392"/>
      <c r="T28" s="392"/>
      <c r="U28" s="392"/>
      <c r="V28" s="392"/>
      <c r="W28" s="392"/>
      <c r="X28" s="392"/>
      <c r="Y28" s="392"/>
      <c r="Z28" s="392"/>
    </row>
    <row r="29" spans="2:26" x14ac:dyDescent="0.25">
      <c r="B29" s="421"/>
      <c r="C29" s="286" t="str">
        <f t="shared" si="3"/>
        <v>D-03.02.3_(FF.Doc.Pres)_641</v>
      </c>
      <c r="D29" s="104">
        <v>641</v>
      </c>
      <c r="E29" s="292" t="s">
        <v>740</v>
      </c>
      <c r="F29" s="373" t="s">
        <v>839</v>
      </c>
      <c r="G29" s="374" t="s">
        <v>776</v>
      </c>
      <c r="H29" s="103" t="s">
        <v>657</v>
      </c>
      <c r="I29" s="103"/>
      <c r="J29" s="287" t="str">
        <f t="shared" si="1"/>
        <v>aaaa.mm.jj_(FF.Doc.Pres)_</v>
      </c>
      <c r="K29" t="str">
        <f t="shared" si="2"/>
        <v>aaaa.mm.jj_(03.02.3)_</v>
      </c>
      <c r="M29" s="393" t="s">
        <v>858</v>
      </c>
      <c r="N29" s="392" t="s">
        <v>852</v>
      </c>
      <c r="O29" s="392" t="s">
        <v>874</v>
      </c>
      <c r="P29" s="392"/>
      <c r="Q29" s="392"/>
      <c r="R29" s="392"/>
      <c r="S29" s="392"/>
      <c r="T29" s="392"/>
      <c r="U29" s="392"/>
      <c r="V29" s="392"/>
      <c r="W29" s="392"/>
      <c r="X29" s="392"/>
      <c r="Y29" s="392"/>
      <c r="Z29" s="392"/>
    </row>
    <row r="30" spans="2:26" x14ac:dyDescent="0.25">
      <c r="B30" s="421"/>
      <c r="C30" s="286" t="str">
        <f t="shared" si="3"/>
        <v>D-03.03_(FF.Forma)_6421</v>
      </c>
      <c r="D30" s="104">
        <v>6421</v>
      </c>
      <c r="E30" s="292" t="s">
        <v>739</v>
      </c>
      <c r="F30" s="373" t="s">
        <v>840</v>
      </c>
      <c r="G30" s="374" t="s">
        <v>777</v>
      </c>
      <c r="H30" s="103" t="s">
        <v>659</v>
      </c>
      <c r="I30" s="103"/>
      <c r="J30" s="287" t="str">
        <f t="shared" si="1"/>
        <v>aaaa.mm.jj_(FF.Forma)_</v>
      </c>
      <c r="K30" t="str">
        <f t="shared" si="2"/>
        <v>aaaa.mm.jj_(03.03)_</v>
      </c>
      <c r="M30" s="392"/>
      <c r="N30" s="392"/>
      <c r="O30" s="392"/>
      <c r="P30" s="392"/>
      <c r="Q30" s="392"/>
      <c r="R30" s="392"/>
      <c r="S30" s="392"/>
      <c r="T30" s="392"/>
      <c r="U30" s="392"/>
      <c r="V30" s="392"/>
      <c r="W30" s="392"/>
      <c r="X30" s="392"/>
      <c r="Y30" s="392"/>
      <c r="Z30" s="392"/>
    </row>
    <row r="31" spans="2:26" x14ac:dyDescent="0.25">
      <c r="B31" s="421"/>
      <c r="C31" s="286" t="str">
        <f t="shared" si="3"/>
        <v>D-03.04.01_(FF.Mater.Papet.)_6061</v>
      </c>
      <c r="D31" s="104">
        <v>6061</v>
      </c>
      <c r="E31" s="292" t="s">
        <v>787</v>
      </c>
      <c r="F31" s="373" t="s">
        <v>841</v>
      </c>
      <c r="G31" s="374" t="s">
        <v>784</v>
      </c>
      <c r="H31" s="103" t="s">
        <v>656</v>
      </c>
      <c r="I31" s="103"/>
      <c r="J31" s="287" t="str">
        <f t="shared" si="1"/>
        <v>aaaa.mm.jj_(FF.Mater.Papet.)_</v>
      </c>
      <c r="K31" t="str">
        <f t="shared" si="2"/>
        <v>aaaa.mm.jj_(03.04.01)_</v>
      </c>
      <c r="M31" s="393" t="s">
        <v>857</v>
      </c>
      <c r="N31" s="392" t="s">
        <v>859</v>
      </c>
      <c r="O31" s="393" t="s">
        <v>863</v>
      </c>
      <c r="P31" s="392" t="s">
        <v>869</v>
      </c>
      <c r="Q31" s="392" t="s">
        <v>884</v>
      </c>
      <c r="R31" s="392"/>
      <c r="S31" s="392"/>
      <c r="T31" s="392"/>
      <c r="U31" s="392"/>
      <c r="V31" s="392"/>
      <c r="W31" s="392"/>
      <c r="X31" s="392"/>
      <c r="Y31" s="392"/>
      <c r="Z31" s="392"/>
    </row>
    <row r="32" spans="2:26" x14ac:dyDescent="0.25">
      <c r="B32" s="421"/>
      <c r="C32" s="286" t="str">
        <f t="shared" si="3"/>
        <v>D-03.04.02_(FF.Mater.Mobil.)_2300</v>
      </c>
      <c r="D32" s="104">
        <v>2300</v>
      </c>
      <c r="E32" s="292" t="s">
        <v>786</v>
      </c>
      <c r="F32" s="373" t="s">
        <v>842</v>
      </c>
      <c r="G32" s="374" t="s">
        <v>783</v>
      </c>
      <c r="H32" s="103"/>
      <c r="I32" s="103"/>
      <c r="J32" s="287" t="str">
        <f t="shared" si="1"/>
        <v>aaaa.mm.jj_(FF.Mater.Mobil.)_</v>
      </c>
      <c r="K32" t="str">
        <f t="shared" si="2"/>
        <v>aaaa.mm.jj_(03.04.02)_</v>
      </c>
      <c r="M32" s="393" t="s">
        <v>865</v>
      </c>
      <c r="N32" s="392"/>
      <c r="O32" s="392"/>
      <c r="P32" s="392"/>
      <c r="Q32" s="392"/>
      <c r="R32" s="392"/>
      <c r="S32" s="392"/>
      <c r="T32" s="392"/>
      <c r="U32" s="392"/>
      <c r="V32" s="392"/>
      <c r="W32" s="392"/>
      <c r="X32" s="392"/>
      <c r="Y32" s="392"/>
      <c r="Z32" s="392"/>
    </row>
    <row r="33" spans="2:26" ht="30" x14ac:dyDescent="0.25">
      <c r="B33" s="421"/>
      <c r="C33" s="286" t="str">
        <f t="shared" si="3"/>
        <v>D-03.05.01_(FF.Subs.Depen.)_66A</v>
      </c>
      <c r="D33" s="104" t="s">
        <v>476</v>
      </c>
      <c r="E33" s="293" t="s">
        <v>788</v>
      </c>
      <c r="F33" s="293" t="s">
        <v>843</v>
      </c>
      <c r="G33" s="293" t="s">
        <v>792</v>
      </c>
      <c r="H33" s="295" t="s">
        <v>793</v>
      </c>
      <c r="I33" s="113"/>
      <c r="J33" s="288" t="str">
        <f t="shared" si="1"/>
        <v>aaaa.mm.jj_(FF.Subs.Depen.)_</v>
      </c>
      <c r="K33" s="161" t="str">
        <f t="shared" si="2"/>
        <v>aaaa.mm.jj_(03.05.01)_</v>
      </c>
      <c r="M33" s="395"/>
      <c r="N33" s="395"/>
      <c r="O33" s="395"/>
      <c r="P33" s="395"/>
      <c r="Q33" s="395"/>
      <c r="R33" s="395"/>
      <c r="S33" s="395"/>
      <c r="T33" s="395"/>
      <c r="U33" s="395"/>
      <c r="V33" s="395"/>
      <c r="W33" s="395"/>
      <c r="X33" s="395"/>
      <c r="Y33" s="395"/>
      <c r="Z33" s="395"/>
    </row>
    <row r="34" spans="2:26" ht="18.75" x14ac:dyDescent="0.25">
      <c r="B34" s="421"/>
      <c r="C34" s="286" t="str">
        <f t="shared" si="3"/>
        <v>D-03.05.02_(FF.Subs.Remb.)_73</v>
      </c>
      <c r="D34" s="276">
        <v>73</v>
      </c>
      <c r="E34" s="293" t="s">
        <v>789</v>
      </c>
      <c r="F34" s="293" t="s">
        <v>844</v>
      </c>
      <c r="G34" s="375" t="s">
        <v>790</v>
      </c>
      <c r="H34" s="103"/>
      <c r="I34" s="103"/>
      <c r="J34" s="287" t="str">
        <f t="shared" si="1"/>
        <v>aaaa.mm.jj_(FF.Subs.Remb.)_</v>
      </c>
      <c r="K34" t="str">
        <f t="shared" si="2"/>
        <v>aaaa.mm.jj_(03.05.02)_</v>
      </c>
      <c r="M34" s="395"/>
      <c r="N34" s="395"/>
      <c r="O34" s="395"/>
      <c r="P34" s="395"/>
      <c r="Q34" s="395"/>
      <c r="R34" s="395"/>
      <c r="S34" s="395"/>
      <c r="T34" s="395"/>
      <c r="U34" s="395"/>
      <c r="V34" s="395"/>
      <c r="W34" s="395"/>
      <c r="X34" s="395"/>
      <c r="Y34" s="395"/>
      <c r="Z34" s="395"/>
    </row>
    <row r="35" spans="2:26" ht="19.5" thickBot="1" x14ac:dyDescent="0.3">
      <c r="B35" s="421"/>
      <c r="C35" s="297" t="str">
        <f t="shared" si="3"/>
        <v>D-03.06.01_(FF.Projets)_</v>
      </c>
      <c r="D35" s="296"/>
      <c r="E35" s="294" t="s">
        <v>846</v>
      </c>
      <c r="F35" s="294" t="s">
        <v>848</v>
      </c>
      <c r="G35" s="376" t="s">
        <v>847</v>
      </c>
      <c r="H35" s="106" t="s">
        <v>845</v>
      </c>
      <c r="I35" s="103"/>
      <c r="J35" s="287" t="str">
        <f t="shared" si="1"/>
        <v>aaaa.mm.jj_(FF.Projets)_</v>
      </c>
      <c r="K35" t="str">
        <f t="shared" si="2"/>
        <v>aaaa.mm.jj_(03.06.01)_</v>
      </c>
      <c r="M35" s="395"/>
      <c r="N35" s="395"/>
      <c r="O35" s="395"/>
      <c r="P35" s="395"/>
      <c r="Q35" s="395"/>
      <c r="R35" s="395"/>
      <c r="S35" s="395"/>
      <c r="T35" s="395"/>
      <c r="U35" s="395"/>
      <c r="V35" s="395"/>
      <c r="W35" s="395"/>
      <c r="X35" s="395"/>
      <c r="Y35" s="395"/>
      <c r="Z35" s="395"/>
    </row>
    <row r="36" spans="2:26" ht="15.75" thickBot="1" x14ac:dyDescent="0.3">
      <c r="B36" s="422"/>
      <c r="C36" s="298" t="s">
        <v>785</v>
      </c>
      <c r="D36" s="299">
        <v>4901</v>
      </c>
      <c r="E36" s="301"/>
      <c r="F36" s="302"/>
      <c r="G36" s="298" t="s">
        <v>460</v>
      </c>
      <c r="H36" s="130"/>
      <c r="I36" s="106"/>
      <c r="J36" s="26" t="str">
        <f t="shared" si="1"/>
        <v>aaaa.mm.jj_()_</v>
      </c>
      <c r="K36" t="str">
        <f>_xlfn.CONCAT($J$4,"_","(Régularisat.)_")</f>
        <v>aaaa.mm.jj_(Régularisat.)_</v>
      </c>
      <c r="M36" s="1"/>
      <c r="N36" s="1"/>
      <c r="O36" s="1"/>
      <c r="P36" s="1"/>
      <c r="Q36" s="1"/>
      <c r="R36" s="1"/>
      <c r="S36" s="1"/>
      <c r="T36" s="1"/>
      <c r="U36" s="1"/>
      <c r="V36" s="1"/>
      <c r="W36" s="1"/>
      <c r="X36" s="1"/>
      <c r="Y36" s="1"/>
      <c r="Z36" s="1"/>
    </row>
    <row r="37" spans="2:26" ht="18.75" customHeight="1" x14ac:dyDescent="0.25">
      <c r="B37" s="416" t="s">
        <v>357</v>
      </c>
      <c r="C37" s="195" t="str">
        <f>_xlfn.CONCAT("R-","_",F37,"_",D37)</f>
        <v>R-_CA_Ventes - Forma.)_700</v>
      </c>
      <c r="D37" s="380">
        <v>700</v>
      </c>
      <c r="E37" s="381"/>
      <c r="F37" s="280" t="s">
        <v>828</v>
      </c>
      <c r="G37" s="195" t="s">
        <v>805</v>
      </c>
      <c r="H37" s="195" t="s">
        <v>641</v>
      </c>
      <c r="I37" s="282"/>
      <c r="J37" s="195"/>
      <c r="M37" s="1" t="s">
        <v>8</v>
      </c>
      <c r="N37" s="1" t="s">
        <v>887</v>
      </c>
      <c r="O37" s="396" t="s">
        <v>889</v>
      </c>
      <c r="P37" s="1"/>
      <c r="Q37" s="1"/>
      <c r="R37" s="1"/>
      <c r="S37" s="1"/>
      <c r="T37" s="1"/>
      <c r="U37" s="1"/>
      <c r="V37" s="1"/>
      <c r="W37" s="1"/>
      <c r="X37" s="1"/>
      <c r="Y37" s="1"/>
      <c r="Z37" s="1"/>
    </row>
    <row r="38" spans="2:26" ht="15.75" x14ac:dyDescent="0.25">
      <c r="B38" s="417"/>
      <c r="C38" s="1" t="str">
        <f t="shared" ref="C38:C44" si="4">_xlfn.CONCAT("R-","_",F38,"_",D38)</f>
        <v>R-_CA_Ventes - Goodies)_700</v>
      </c>
      <c r="D38" s="377">
        <v>700</v>
      </c>
      <c r="E38" s="378"/>
      <c r="F38" s="269" t="s">
        <v>829</v>
      </c>
      <c r="G38" s="1" t="s">
        <v>797</v>
      </c>
      <c r="H38" s="1" t="s">
        <v>641</v>
      </c>
      <c r="I38" s="270"/>
      <c r="J38" s="1"/>
      <c r="M38" s="1"/>
      <c r="N38" s="1"/>
      <c r="O38" s="1"/>
      <c r="P38" s="1"/>
      <c r="Q38" s="1"/>
      <c r="R38" s="1"/>
      <c r="S38" s="1"/>
      <c r="T38" s="1"/>
      <c r="U38" s="1"/>
      <c r="V38" s="1"/>
      <c r="W38" s="1"/>
      <c r="X38" s="1"/>
      <c r="Y38" s="1"/>
      <c r="Z38" s="1"/>
    </row>
    <row r="39" spans="2:26" ht="15.75" x14ac:dyDescent="0.25">
      <c r="B39" s="417"/>
      <c r="C39" s="1" t="str">
        <f t="shared" si="4"/>
        <v>R-_CA_Ventes - Le Secret)_700</v>
      </c>
      <c r="D39" s="377">
        <v>700</v>
      </c>
      <c r="E39" s="378"/>
      <c r="F39" s="269" t="s">
        <v>830</v>
      </c>
      <c r="G39" s="1" t="s">
        <v>798</v>
      </c>
      <c r="H39" s="1" t="s">
        <v>641</v>
      </c>
      <c r="I39" s="270"/>
      <c r="J39" s="1"/>
      <c r="M39" s="1"/>
      <c r="N39" s="1"/>
      <c r="O39" s="1"/>
      <c r="P39" s="1"/>
      <c r="Q39" s="1"/>
      <c r="R39" s="1"/>
      <c r="S39" s="1"/>
      <c r="T39" s="1"/>
      <c r="U39" s="1"/>
      <c r="V39" s="1"/>
      <c r="W39" s="1"/>
      <c r="X39" s="1"/>
      <c r="Y39" s="1"/>
      <c r="Z39" s="1"/>
    </row>
    <row r="40" spans="2:26" ht="15.75" x14ac:dyDescent="0.25">
      <c r="B40" s="417"/>
      <c r="C40" s="1" t="str">
        <f t="shared" si="4"/>
        <v>R-_CA_Prestations)_7001</v>
      </c>
      <c r="D40" s="377">
        <v>7001</v>
      </c>
      <c r="E40" s="378"/>
      <c r="F40" s="269" t="s">
        <v>831</v>
      </c>
      <c r="G40" s="1" t="s">
        <v>796</v>
      </c>
      <c r="H40" s="1" t="s">
        <v>637</v>
      </c>
      <c r="I40" s="270"/>
      <c r="J40" s="1"/>
      <c r="M40" s="268"/>
      <c r="N40" s="1"/>
      <c r="O40" s="1"/>
      <c r="P40" s="1"/>
      <c r="Q40" s="1"/>
      <c r="R40" s="1"/>
      <c r="S40" s="1"/>
      <c r="T40" s="1"/>
      <c r="U40" s="1"/>
      <c r="V40" s="1"/>
      <c r="W40" s="1"/>
      <c r="X40" s="1"/>
      <c r="Y40" s="1"/>
      <c r="Z40" s="1"/>
    </row>
    <row r="41" spans="2:26" x14ac:dyDescent="0.25">
      <c r="B41" s="417"/>
      <c r="C41" s="1" t="str">
        <f t="shared" si="4"/>
        <v>R-_Don)_7311</v>
      </c>
      <c r="D41" s="377">
        <v>7311</v>
      </c>
      <c r="E41" s="1"/>
      <c r="F41" s="269" t="s">
        <v>832</v>
      </c>
      <c r="G41" s="379" t="s">
        <v>481</v>
      </c>
      <c r="H41" s="1" t="s">
        <v>638</v>
      </c>
      <c r="I41" s="1"/>
      <c r="J41" s="1"/>
      <c r="M41" s="268"/>
      <c r="N41" s="1"/>
      <c r="O41" s="1"/>
      <c r="P41" s="1"/>
      <c r="Q41" s="1"/>
      <c r="R41" s="1"/>
      <c r="S41" s="1"/>
      <c r="T41" s="1"/>
      <c r="U41" s="1"/>
      <c r="V41" s="1"/>
      <c r="W41" s="1"/>
      <c r="X41" s="1"/>
      <c r="Y41" s="1"/>
      <c r="Z41" s="1"/>
    </row>
    <row r="42" spans="2:26" x14ac:dyDescent="0.25">
      <c r="B42" s="417"/>
      <c r="C42" s="1" t="str">
        <f t="shared" si="4"/>
        <v>R-_Don - Chloé Guyot)_7311</v>
      </c>
      <c r="D42" s="377">
        <v>7311</v>
      </c>
      <c r="E42" s="1"/>
      <c r="F42" s="269" t="s">
        <v>833</v>
      </c>
      <c r="G42" s="1" t="s">
        <v>482</v>
      </c>
      <c r="H42" s="1" t="s">
        <v>638</v>
      </c>
      <c r="I42" s="1"/>
      <c r="J42" s="1"/>
      <c r="M42" s="1"/>
      <c r="N42" s="1"/>
      <c r="O42" s="1"/>
      <c r="P42" s="1"/>
      <c r="Q42" s="1"/>
      <c r="R42" s="1"/>
      <c r="S42" s="1"/>
      <c r="T42" s="1"/>
      <c r="U42" s="1"/>
      <c r="V42" s="1"/>
      <c r="W42" s="1"/>
      <c r="X42" s="1"/>
      <c r="Y42" s="1"/>
      <c r="Z42" s="1"/>
    </row>
    <row r="43" spans="2:26" x14ac:dyDescent="0.25">
      <c r="B43" s="417"/>
      <c r="C43" s="1" t="str">
        <f t="shared" si="4"/>
        <v>R-_Don - Sorina)_7311</v>
      </c>
      <c r="D43" s="377">
        <v>7311</v>
      </c>
      <c r="E43" s="1"/>
      <c r="F43" s="1" t="s">
        <v>834</v>
      </c>
      <c r="G43" s="1" t="s">
        <v>483</v>
      </c>
      <c r="H43" s="1" t="s">
        <v>638</v>
      </c>
      <c r="I43" s="1"/>
      <c r="J43" s="1"/>
      <c r="M43" s="1"/>
      <c r="N43" s="1"/>
      <c r="O43" s="1"/>
      <c r="P43" s="1"/>
      <c r="Q43" s="1"/>
      <c r="R43" s="1"/>
      <c r="S43" s="1"/>
      <c r="T43" s="1"/>
      <c r="U43" s="1"/>
      <c r="V43" s="1"/>
      <c r="W43" s="1"/>
      <c r="X43" s="1"/>
      <c r="Y43" s="1"/>
      <c r="Z43" s="1"/>
    </row>
    <row r="44" spans="2:26" x14ac:dyDescent="0.25">
      <c r="B44" s="417"/>
      <c r="C44" s="1" t="str">
        <f t="shared" si="4"/>
        <v>R-_Cotisations)_7312</v>
      </c>
      <c r="D44" s="377">
        <v>7312</v>
      </c>
      <c r="E44" s="1"/>
      <c r="F44" s="1" t="s">
        <v>835</v>
      </c>
      <c r="G44" s="1" t="s">
        <v>479</v>
      </c>
      <c r="H44" s="1" t="s">
        <v>639</v>
      </c>
      <c r="I44" s="1"/>
      <c r="J44" s="1"/>
      <c r="M44" s="1"/>
      <c r="N44" s="1"/>
      <c r="O44" s="1"/>
      <c r="P44" s="1"/>
      <c r="Q44" s="1"/>
      <c r="R44" s="1"/>
      <c r="S44" s="1"/>
      <c r="T44" s="1"/>
      <c r="U44" s="1"/>
      <c r="V44" s="1"/>
      <c r="W44" s="1"/>
      <c r="X44" s="1"/>
      <c r="Y44" s="1"/>
      <c r="Z44" s="1"/>
    </row>
    <row r="45" spans="2:26" x14ac:dyDescent="0.25">
      <c r="B45" s="417"/>
      <c r="C45" s="1" t="str">
        <f t="shared" ref="C45:C46" si="5">_xlfn.CONCAT("R-","_",G45,"_",D45)</f>
        <v>R-_Subventions _732-734</v>
      </c>
      <c r="D45" s="377" t="s">
        <v>799</v>
      </c>
      <c r="E45" s="1"/>
      <c r="F45" s="1"/>
      <c r="G45" s="1" t="s">
        <v>800</v>
      </c>
      <c r="H45" s="426" t="s">
        <v>804</v>
      </c>
      <c r="I45" s="1"/>
      <c r="J45" s="1"/>
      <c r="M45" s="400" t="s">
        <v>360</v>
      </c>
      <c r="N45" s="1"/>
      <c r="O45" s="1"/>
      <c r="P45" s="1"/>
      <c r="Q45" s="1"/>
      <c r="R45" s="1"/>
      <c r="S45" s="1"/>
      <c r="T45" s="1"/>
      <c r="U45" s="1"/>
      <c r="V45" s="1"/>
      <c r="W45" s="1"/>
      <c r="X45" s="1"/>
      <c r="Y45" s="1"/>
      <c r="Z45" s="1"/>
    </row>
    <row r="46" spans="2:26" x14ac:dyDescent="0.25">
      <c r="B46" s="417"/>
      <c r="C46" s="1" t="str">
        <f t="shared" si="5"/>
        <v>R-_Subventions  COCOF - Le Secret_734</v>
      </c>
      <c r="D46" s="377">
        <v>734</v>
      </c>
      <c r="E46" s="1"/>
      <c r="F46" s="1"/>
      <c r="G46" s="1" t="s">
        <v>801</v>
      </c>
      <c r="H46" s="427"/>
      <c r="I46" s="1"/>
      <c r="J46" s="1"/>
      <c r="M46" s="1"/>
      <c r="N46" s="1"/>
      <c r="O46" s="1"/>
      <c r="P46" s="1"/>
      <c r="Q46" s="1"/>
      <c r="R46" s="1"/>
      <c r="S46" s="1"/>
      <c r="T46" s="1"/>
      <c r="U46" s="1"/>
      <c r="V46" s="1"/>
      <c r="W46" s="1"/>
      <c r="X46" s="1"/>
      <c r="Y46" s="1"/>
      <c r="Z46" s="1"/>
    </row>
    <row r="47" spans="2:26" x14ac:dyDescent="0.25">
      <c r="B47" s="418"/>
      <c r="C47" s="196" t="s">
        <v>42</v>
      </c>
      <c r="D47" s="277" t="s">
        <v>799</v>
      </c>
      <c r="E47" s="100"/>
      <c r="F47" s="1"/>
      <c r="G47" s="1"/>
      <c r="H47" s="427"/>
      <c r="I47" s="1"/>
      <c r="J47" s="1"/>
      <c r="M47" s="1"/>
      <c r="N47" s="1"/>
      <c r="O47" s="1"/>
      <c r="P47" s="1"/>
      <c r="Q47" s="1"/>
      <c r="R47" s="1"/>
      <c r="S47" s="1"/>
      <c r="T47" s="1"/>
      <c r="U47" s="1"/>
      <c r="V47" s="1"/>
      <c r="W47" s="1"/>
      <c r="X47" s="1"/>
      <c r="Y47" s="1"/>
      <c r="Z47" s="1"/>
    </row>
    <row r="48" spans="2:26" ht="15.75" thickBot="1" x14ac:dyDescent="0.3">
      <c r="B48" s="418"/>
      <c r="C48" s="382" t="s">
        <v>43</v>
      </c>
      <c r="D48" s="383">
        <v>734</v>
      </c>
      <c r="E48" s="101"/>
      <c r="F48" s="85"/>
      <c r="G48" s="85"/>
      <c r="H48" s="428"/>
      <c r="I48" s="1"/>
      <c r="J48" s="1"/>
      <c r="M48" s="1"/>
      <c r="N48" s="1"/>
      <c r="O48" s="1"/>
      <c r="P48" s="1"/>
      <c r="Q48" s="1"/>
      <c r="R48" s="1"/>
      <c r="S48" s="1"/>
      <c r="T48" s="1"/>
      <c r="U48" s="1"/>
      <c r="V48" s="1"/>
      <c r="W48" s="1"/>
      <c r="X48" s="1"/>
      <c r="Y48" s="1"/>
      <c r="Z48" s="1"/>
    </row>
    <row r="49" spans="2:26" ht="15.75" thickBot="1" x14ac:dyDescent="0.3">
      <c r="B49" s="418"/>
      <c r="C49" s="385" t="s">
        <v>850</v>
      </c>
      <c r="D49" s="386">
        <v>4901</v>
      </c>
      <c r="E49" s="423" t="s">
        <v>460</v>
      </c>
      <c r="F49" s="424"/>
      <c r="G49" s="425"/>
      <c r="H49" s="100"/>
      <c r="I49" s="1"/>
      <c r="J49" s="1"/>
      <c r="M49" s="1"/>
      <c r="N49" s="1"/>
      <c r="O49" s="1"/>
      <c r="P49" s="1"/>
      <c r="Q49" s="1"/>
      <c r="R49" s="1"/>
      <c r="S49" s="1"/>
      <c r="T49" s="1"/>
      <c r="U49" s="1"/>
      <c r="V49" s="1"/>
      <c r="W49" s="1"/>
      <c r="X49" s="1"/>
      <c r="Y49" s="1"/>
      <c r="Z49" s="1"/>
    </row>
    <row r="50" spans="2:26" x14ac:dyDescent="0.25">
      <c r="B50" s="418"/>
      <c r="C50" s="384" t="s">
        <v>19</v>
      </c>
      <c r="D50" s="279">
        <v>73</v>
      </c>
      <c r="E50" s="281"/>
      <c r="F50" s="195"/>
      <c r="G50" s="195"/>
      <c r="H50" s="1"/>
      <c r="I50" s="1"/>
      <c r="J50" s="1"/>
      <c r="M50" s="1"/>
      <c r="N50" s="1"/>
      <c r="O50" s="1"/>
      <c r="P50" s="1"/>
      <c r="Q50" s="1"/>
      <c r="R50" s="1"/>
      <c r="S50" s="1"/>
      <c r="T50" s="1"/>
      <c r="U50" s="1"/>
      <c r="V50" s="1"/>
      <c r="W50" s="1"/>
      <c r="X50" s="1"/>
      <c r="Y50" s="1"/>
      <c r="Z50" s="1"/>
    </row>
    <row r="51" spans="2:26" x14ac:dyDescent="0.25">
      <c r="B51" s="418"/>
      <c r="C51" s="273" t="s">
        <v>38</v>
      </c>
      <c r="D51" s="277">
        <v>73</v>
      </c>
      <c r="E51" s="100"/>
      <c r="F51" s="1"/>
      <c r="G51" s="1"/>
      <c r="H51" s="1"/>
      <c r="I51" s="1"/>
      <c r="J51" s="1"/>
      <c r="M51" s="1"/>
      <c r="N51" s="1"/>
      <c r="O51" s="1"/>
      <c r="P51" s="1"/>
      <c r="Q51" s="1"/>
      <c r="R51" s="1"/>
      <c r="S51" s="1"/>
      <c r="T51" s="1"/>
      <c r="U51" s="1"/>
      <c r="V51" s="1"/>
      <c r="W51" s="1"/>
      <c r="X51" s="1"/>
      <c r="Y51" s="1"/>
      <c r="Z51" s="1"/>
    </row>
    <row r="52" spans="2:26" x14ac:dyDescent="0.25">
      <c r="B52" s="418"/>
      <c r="C52" s="273" t="s">
        <v>33</v>
      </c>
      <c r="D52" s="277">
        <v>73</v>
      </c>
      <c r="E52" s="100"/>
      <c r="F52" s="1"/>
      <c r="G52" s="1"/>
      <c r="H52" s="1"/>
      <c r="I52" s="1"/>
      <c r="J52" s="1"/>
      <c r="M52" s="1"/>
      <c r="N52" s="1"/>
      <c r="O52" s="1"/>
      <c r="P52" s="1"/>
      <c r="Q52" s="1"/>
      <c r="R52" s="1"/>
      <c r="S52" s="1"/>
      <c r="T52" s="1"/>
      <c r="U52" s="1"/>
      <c r="V52" s="1"/>
      <c r="W52" s="1"/>
      <c r="X52" s="1"/>
      <c r="Y52" s="1"/>
      <c r="Z52" s="1"/>
    </row>
    <row r="53" spans="2:26" ht="15.75" thickBot="1" x14ac:dyDescent="0.3">
      <c r="B53" s="419"/>
      <c r="C53" s="273" t="s">
        <v>39</v>
      </c>
      <c r="D53" s="278">
        <v>73</v>
      </c>
      <c r="E53" s="100"/>
      <c r="F53" s="1"/>
      <c r="G53" s="1"/>
      <c r="H53" s="1"/>
      <c r="I53" s="1"/>
      <c r="J53" s="1"/>
      <c r="M53" s="1"/>
      <c r="N53" s="1"/>
      <c r="O53" s="1"/>
      <c r="P53" s="1"/>
      <c r="Q53" s="1"/>
      <c r="R53" s="1"/>
      <c r="S53" s="1"/>
      <c r="T53" s="1"/>
      <c r="U53" s="1"/>
      <c r="V53" s="1"/>
      <c r="W53" s="1"/>
      <c r="X53" s="1"/>
      <c r="Y53" s="1"/>
      <c r="Z53" s="1"/>
    </row>
    <row r="54" spans="2:26" x14ac:dyDescent="0.25">
      <c r="S54" s="161"/>
    </row>
    <row r="55" spans="2:26" ht="15.75" thickBot="1" x14ac:dyDescent="0.3"/>
    <row r="56" spans="2:26" ht="19.5" thickBot="1" x14ac:dyDescent="0.35">
      <c r="C56" s="62" t="s">
        <v>169</v>
      </c>
      <c r="F56" s="190" t="s">
        <v>18</v>
      </c>
      <c r="H56" s="191" t="s">
        <v>17</v>
      </c>
    </row>
    <row r="57" spans="2:26" x14ac:dyDescent="0.25">
      <c r="C57" s="28" t="s">
        <v>170</v>
      </c>
      <c r="F57" s="63" t="s">
        <v>21</v>
      </c>
      <c r="H57" s="187" t="s">
        <v>20</v>
      </c>
    </row>
    <row r="58" spans="2:26" x14ac:dyDescent="0.25">
      <c r="C58" s="111" t="s">
        <v>171</v>
      </c>
      <c r="F58" s="112" t="s">
        <v>23</v>
      </c>
      <c r="H58" s="188" t="s">
        <v>22</v>
      </c>
    </row>
    <row r="59" spans="2:26" x14ac:dyDescent="0.25">
      <c r="C59" s="29" t="s">
        <v>172</v>
      </c>
      <c r="F59" s="4" t="s">
        <v>26</v>
      </c>
      <c r="H59" s="189" t="s">
        <v>25</v>
      </c>
    </row>
    <row r="60" spans="2:26" x14ac:dyDescent="0.25">
      <c r="C60" s="29" t="s">
        <v>173</v>
      </c>
      <c r="F60" s="4" t="s">
        <v>29</v>
      </c>
      <c r="H60" s="189" t="s">
        <v>28</v>
      </c>
    </row>
    <row r="61" spans="2:26" x14ac:dyDescent="0.25">
      <c r="C61" s="29" t="s">
        <v>174</v>
      </c>
      <c r="F61" s="4" t="s">
        <v>31</v>
      </c>
      <c r="H61" s="189"/>
    </row>
    <row r="62" spans="2:26" x14ac:dyDescent="0.25">
      <c r="C62" s="29" t="s">
        <v>175</v>
      </c>
      <c r="F62" s="4"/>
    </row>
    <row r="63" spans="2:26" x14ac:dyDescent="0.25">
      <c r="C63" s="29" t="s">
        <v>176</v>
      </c>
    </row>
    <row r="64" spans="2:26" x14ac:dyDescent="0.25">
      <c r="C64" s="29" t="s">
        <v>177</v>
      </c>
    </row>
    <row r="65" spans="3:3" x14ac:dyDescent="0.25">
      <c r="C65" s="29" t="s">
        <v>178</v>
      </c>
    </row>
    <row r="66" spans="3:3" x14ac:dyDescent="0.25">
      <c r="C66" s="29" t="s">
        <v>179</v>
      </c>
    </row>
    <row r="67" spans="3:3" x14ac:dyDescent="0.25">
      <c r="C67" s="29" t="s">
        <v>180</v>
      </c>
    </row>
    <row r="68" spans="3:3" x14ac:dyDescent="0.25">
      <c r="C68" s="29" t="s">
        <v>181</v>
      </c>
    </row>
    <row r="69" spans="3:3" x14ac:dyDescent="0.25">
      <c r="C69" s="64" t="s">
        <v>182</v>
      </c>
    </row>
    <row r="70" spans="3:3" ht="15.75" thickBot="1" x14ac:dyDescent="0.3">
      <c r="C70" s="30" t="s">
        <v>183</v>
      </c>
    </row>
  </sheetData>
  <sortState xmlns:xlrd2="http://schemas.microsoft.com/office/spreadsheetml/2017/richdata2" ref="M6:M138">
    <sortCondition ref="M138"/>
  </sortState>
  <mergeCells count="6">
    <mergeCell ref="Q2:U2"/>
    <mergeCell ref="B37:B53"/>
    <mergeCell ref="B6:B36"/>
    <mergeCell ref="E49:G49"/>
    <mergeCell ref="H45:H48"/>
    <mergeCell ref="I2:J2"/>
  </mergeCells>
  <phoneticPr fontId="14" type="noConversion"/>
  <pageMargins left="0.25" right="0.25" top="0.75" bottom="0.75" header="0.3" footer="0.3"/>
  <pageSetup paperSize="9" scale="22"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9D9F5-5DC7-43B3-81A2-18DC96956E73}">
  <sheetPr codeName="Feuil4"/>
  <dimension ref="A1:O45"/>
  <sheetViews>
    <sheetView workbookViewId="0">
      <selection activeCell="A8" sqref="A8"/>
    </sheetView>
  </sheetViews>
  <sheetFormatPr baseColWidth="10" defaultRowHeight="15" x14ac:dyDescent="0.25"/>
  <cols>
    <col min="1" max="1" width="36.42578125" bestFit="1" customWidth="1"/>
    <col min="2" max="2" width="23.7109375" bestFit="1" customWidth="1"/>
    <col min="3" max="3" width="8.28515625" bestFit="1" customWidth="1"/>
    <col min="4" max="4" width="13" bestFit="1" customWidth="1"/>
    <col min="5" max="5" width="8.140625" bestFit="1" customWidth="1"/>
    <col min="6" max="6" width="9.28515625" bestFit="1" customWidth="1"/>
    <col min="7" max="7" width="6.7109375" bestFit="1" customWidth="1"/>
    <col min="8" max="8" width="6" bestFit="1" customWidth="1"/>
    <col min="9" max="9" width="9.42578125" bestFit="1" customWidth="1"/>
    <col min="10" max="10" width="13.42578125" bestFit="1" customWidth="1"/>
    <col min="11" max="11" width="8.42578125" bestFit="1" customWidth="1"/>
    <col min="12" max="12" width="6.42578125" bestFit="1" customWidth="1"/>
    <col min="13" max="13" width="4.7109375" bestFit="1" customWidth="1"/>
    <col min="14" max="14" width="9.42578125" bestFit="1" customWidth="1"/>
    <col min="15" max="15" width="4.28515625" bestFit="1" customWidth="1"/>
  </cols>
  <sheetData>
    <row r="1" spans="1:15" x14ac:dyDescent="0.25">
      <c r="A1" s="1" t="s">
        <v>890</v>
      </c>
      <c r="B1" s="1" t="s">
        <v>10</v>
      </c>
      <c r="C1" s="1"/>
      <c r="D1" s="1"/>
      <c r="E1" s="1"/>
      <c r="F1" s="1"/>
      <c r="G1" s="1"/>
      <c r="H1" s="1"/>
      <c r="I1" s="1"/>
      <c r="J1" s="1"/>
      <c r="K1" s="1"/>
      <c r="L1" s="1"/>
      <c r="M1" s="1"/>
      <c r="N1" s="1"/>
      <c r="O1" s="1"/>
    </row>
    <row r="2" spans="1:15" x14ac:dyDescent="0.25">
      <c r="A2" s="1" t="s">
        <v>891</v>
      </c>
      <c r="B2" s="1" t="s">
        <v>296</v>
      </c>
      <c r="C2" s="1"/>
      <c r="D2" s="1"/>
      <c r="E2" s="1"/>
      <c r="F2" s="1"/>
      <c r="G2" s="1"/>
      <c r="H2" s="1"/>
      <c r="I2" s="1"/>
      <c r="J2" s="1"/>
      <c r="K2" s="1"/>
      <c r="L2" s="1"/>
      <c r="M2" s="1"/>
      <c r="N2" s="1"/>
      <c r="O2" s="1"/>
    </row>
    <row r="3" spans="1:15" x14ac:dyDescent="0.25">
      <c r="A3" s="1" t="s">
        <v>892</v>
      </c>
      <c r="B3" s="1" t="s">
        <v>851</v>
      </c>
      <c r="C3" s="1"/>
      <c r="D3" s="1"/>
      <c r="E3" s="1"/>
      <c r="F3" s="1"/>
      <c r="G3" s="1"/>
      <c r="H3" s="1"/>
      <c r="I3" s="1"/>
      <c r="J3" s="1"/>
      <c r="K3" s="1"/>
      <c r="L3" s="1"/>
      <c r="M3" s="1"/>
      <c r="N3" s="1"/>
      <c r="O3" s="1"/>
    </row>
    <row r="4" spans="1:15" x14ac:dyDescent="0.25">
      <c r="A4" s="1" t="s">
        <v>893</v>
      </c>
      <c r="B4" s="1" t="s">
        <v>243</v>
      </c>
      <c r="C4" s="396"/>
      <c r="D4" s="396"/>
      <c r="E4" s="396"/>
      <c r="F4" s="396"/>
      <c r="G4" s="396"/>
      <c r="H4" s="396"/>
      <c r="I4" s="396"/>
      <c r="J4" s="396"/>
      <c r="K4" s="396"/>
      <c r="L4" s="396"/>
      <c r="M4" s="396"/>
      <c r="N4" s="396"/>
      <c r="O4" s="396"/>
    </row>
    <row r="5" spans="1:15" x14ac:dyDescent="0.25">
      <c r="A5" s="1" t="s">
        <v>894</v>
      </c>
      <c r="B5" s="1" t="s">
        <v>720</v>
      </c>
      <c r="C5" s="396"/>
      <c r="D5" s="396"/>
      <c r="E5" s="396"/>
      <c r="F5" s="396"/>
      <c r="G5" s="396"/>
      <c r="H5" s="396"/>
      <c r="I5" s="396"/>
      <c r="J5" s="396"/>
      <c r="K5" s="396"/>
      <c r="L5" s="396"/>
      <c r="M5" s="396"/>
      <c r="N5" s="396"/>
      <c r="O5" s="396"/>
    </row>
    <row r="6" spans="1:15" x14ac:dyDescent="0.25">
      <c r="A6" s="1" t="s">
        <v>895</v>
      </c>
      <c r="B6" s="1" t="s">
        <v>853</v>
      </c>
      <c r="C6" s="396"/>
      <c r="D6" s="396"/>
      <c r="E6" s="396"/>
      <c r="F6" s="396"/>
      <c r="G6" s="396"/>
      <c r="H6" s="396"/>
      <c r="I6" s="396"/>
      <c r="J6" s="396"/>
      <c r="K6" s="396"/>
      <c r="L6" s="396"/>
      <c r="M6" s="396"/>
      <c r="N6" s="396"/>
      <c r="O6" s="396"/>
    </row>
    <row r="7" spans="1:15" x14ac:dyDescent="0.25">
      <c r="A7" s="1" t="s">
        <v>896</v>
      </c>
      <c r="B7" s="1" t="s">
        <v>854</v>
      </c>
      <c r="C7" s="396" t="s">
        <v>855</v>
      </c>
      <c r="D7" s="396" t="s">
        <v>856</v>
      </c>
      <c r="E7" s="396" t="s">
        <v>860</v>
      </c>
      <c r="F7" s="396" t="s">
        <v>867</v>
      </c>
      <c r="G7" s="396" t="s">
        <v>882</v>
      </c>
      <c r="H7" s="396" t="s">
        <v>872</v>
      </c>
      <c r="I7" s="396" t="s">
        <v>880</v>
      </c>
      <c r="J7" s="396" t="s">
        <v>881</v>
      </c>
      <c r="K7" s="396" t="s">
        <v>873</v>
      </c>
      <c r="L7" s="396" t="s">
        <v>883</v>
      </c>
      <c r="M7" s="396" t="s">
        <v>885</v>
      </c>
      <c r="N7" s="396" t="s">
        <v>871</v>
      </c>
      <c r="O7" s="396" t="s">
        <v>886</v>
      </c>
    </row>
    <row r="8" spans="1:15" x14ac:dyDescent="0.25">
      <c r="A8" s="1" t="s">
        <v>897</v>
      </c>
      <c r="B8" s="1" t="s">
        <v>862</v>
      </c>
      <c r="C8" s="396" t="s">
        <v>870</v>
      </c>
      <c r="D8" s="396"/>
      <c r="E8" s="396"/>
      <c r="F8" s="396"/>
      <c r="G8" s="396"/>
      <c r="H8" s="396"/>
      <c r="I8" s="396"/>
      <c r="J8" s="396"/>
      <c r="K8" s="396"/>
      <c r="L8" s="396"/>
      <c r="M8" s="396"/>
      <c r="N8" s="396"/>
      <c r="O8" s="396"/>
    </row>
    <row r="9" spans="1:15" x14ac:dyDescent="0.25">
      <c r="A9" s="1" t="s">
        <v>898</v>
      </c>
      <c r="B9" s="1" t="s">
        <v>354</v>
      </c>
      <c r="C9" s="396"/>
      <c r="D9" s="396"/>
      <c r="E9" s="396"/>
      <c r="F9" s="396"/>
      <c r="G9" s="396"/>
      <c r="H9" s="396"/>
      <c r="I9" s="396"/>
      <c r="J9" s="396"/>
      <c r="K9" s="396"/>
      <c r="L9" s="396"/>
      <c r="M9" s="396"/>
      <c r="N9" s="396"/>
      <c r="O9" s="396"/>
    </row>
    <row r="10" spans="1:15" x14ac:dyDescent="0.25">
      <c r="A10" s="1" t="s">
        <v>899</v>
      </c>
      <c r="B10" s="1" t="s">
        <v>324</v>
      </c>
      <c r="C10" s="396"/>
      <c r="D10" s="396"/>
      <c r="E10" s="396"/>
      <c r="F10" s="396"/>
      <c r="G10" s="396"/>
      <c r="H10" s="396"/>
      <c r="I10" s="396"/>
      <c r="J10" s="396"/>
      <c r="K10" s="396"/>
      <c r="L10" s="396"/>
      <c r="M10" s="396"/>
      <c r="N10" s="396"/>
      <c r="O10" s="396"/>
    </row>
    <row r="11" spans="1:15" x14ac:dyDescent="0.25">
      <c r="A11" s="1" t="s">
        <v>900</v>
      </c>
      <c r="B11" s="1"/>
      <c r="C11" s="396"/>
      <c r="D11" s="396"/>
      <c r="E11" s="396"/>
      <c r="F11" s="396"/>
      <c r="G11" s="396"/>
      <c r="H11" s="396"/>
      <c r="I11" s="396"/>
      <c r="J11" s="396"/>
      <c r="K11" s="396"/>
      <c r="L11" s="396"/>
      <c r="M11" s="396"/>
      <c r="N11" s="396"/>
      <c r="O11" s="396"/>
    </row>
    <row r="12" spans="1:15" x14ac:dyDescent="0.25">
      <c r="A12" s="1" t="s">
        <v>901</v>
      </c>
      <c r="B12" s="1"/>
      <c r="C12" s="396"/>
      <c r="D12" s="396"/>
      <c r="E12" s="396"/>
      <c r="F12" s="396"/>
      <c r="G12" s="396"/>
      <c r="H12" s="396"/>
      <c r="I12" s="396"/>
      <c r="J12" s="396"/>
      <c r="K12" s="396"/>
      <c r="L12" s="396"/>
      <c r="M12" s="396"/>
      <c r="N12" s="396"/>
      <c r="O12" s="396"/>
    </row>
    <row r="13" spans="1:15" x14ac:dyDescent="0.25">
      <c r="A13" s="1" t="s">
        <v>902</v>
      </c>
      <c r="B13" s="1" t="s">
        <v>333</v>
      </c>
      <c r="C13" s="396" t="s">
        <v>722</v>
      </c>
      <c r="D13" s="396"/>
      <c r="E13" s="396"/>
      <c r="F13" s="396"/>
      <c r="G13" s="396"/>
      <c r="H13" s="396"/>
      <c r="I13" s="396"/>
      <c r="J13" s="396"/>
      <c r="K13" s="396"/>
      <c r="L13" s="396"/>
      <c r="M13" s="396"/>
      <c r="N13" s="396"/>
      <c r="O13" s="396"/>
    </row>
    <row r="14" spans="1:15" x14ac:dyDescent="0.25">
      <c r="A14" s="1" t="s">
        <v>903</v>
      </c>
      <c r="B14" s="1"/>
      <c r="C14" s="396"/>
      <c r="D14" s="396"/>
      <c r="E14" s="396"/>
      <c r="F14" s="396"/>
      <c r="G14" s="396"/>
      <c r="H14" s="396"/>
      <c r="I14" s="396"/>
      <c r="J14" s="396"/>
      <c r="K14" s="396"/>
      <c r="L14" s="396"/>
      <c r="M14" s="396"/>
      <c r="N14" s="396"/>
      <c r="O14" s="396"/>
    </row>
    <row r="15" spans="1:15" x14ac:dyDescent="0.25">
      <c r="A15" s="1" t="s">
        <v>904</v>
      </c>
      <c r="B15" s="1" t="s">
        <v>694</v>
      </c>
      <c r="C15" s="396"/>
      <c r="D15" s="396"/>
      <c r="E15" s="396"/>
      <c r="F15" s="396"/>
      <c r="G15" s="396"/>
      <c r="H15" s="396"/>
      <c r="I15" s="396"/>
      <c r="J15" s="396"/>
      <c r="K15" s="396"/>
      <c r="L15" s="396"/>
      <c r="M15" s="396"/>
      <c r="N15" s="396"/>
      <c r="O15" s="396"/>
    </row>
    <row r="16" spans="1:15" x14ac:dyDescent="0.25">
      <c r="A16" s="1" t="s">
        <v>905</v>
      </c>
      <c r="B16" s="1" t="s">
        <v>876</v>
      </c>
      <c r="C16" s="396"/>
      <c r="D16" s="396"/>
      <c r="E16" s="396"/>
      <c r="F16" s="396"/>
      <c r="G16" s="396"/>
      <c r="H16" s="396"/>
      <c r="I16" s="396"/>
      <c r="J16" s="396"/>
      <c r="K16" s="396"/>
      <c r="L16" s="396"/>
      <c r="M16" s="396"/>
      <c r="N16" s="396"/>
      <c r="O16" s="396"/>
    </row>
    <row r="17" spans="1:15" x14ac:dyDescent="0.25">
      <c r="A17" s="1" t="s">
        <v>906</v>
      </c>
      <c r="B17" s="1"/>
      <c r="C17" s="396"/>
      <c r="D17" s="396"/>
      <c r="E17" s="396"/>
      <c r="F17" s="396"/>
      <c r="G17" s="396"/>
      <c r="H17" s="396"/>
      <c r="I17" s="396"/>
      <c r="J17" s="396"/>
      <c r="K17" s="396"/>
      <c r="L17" s="396"/>
      <c r="M17" s="396"/>
      <c r="N17" s="396"/>
      <c r="O17" s="396"/>
    </row>
    <row r="18" spans="1:15" x14ac:dyDescent="0.25">
      <c r="A18" s="1" t="s">
        <v>907</v>
      </c>
      <c r="B18" s="1"/>
      <c r="C18" s="396"/>
      <c r="D18" s="396"/>
      <c r="E18" s="396"/>
      <c r="F18" s="396"/>
      <c r="G18" s="396"/>
      <c r="H18" s="396"/>
      <c r="I18" s="396"/>
      <c r="J18" s="396"/>
      <c r="K18" s="396"/>
      <c r="L18" s="396"/>
      <c r="M18" s="396"/>
      <c r="N18" s="396"/>
      <c r="O18" s="396"/>
    </row>
    <row r="19" spans="1:15" x14ac:dyDescent="0.25">
      <c r="A19" s="1" t="s">
        <v>908</v>
      </c>
      <c r="B19" s="1" t="s">
        <v>878</v>
      </c>
      <c r="C19" s="396" t="s">
        <v>864</v>
      </c>
      <c r="D19" s="396" t="s">
        <v>888</v>
      </c>
      <c r="E19" s="396" t="s">
        <v>861</v>
      </c>
      <c r="F19" s="396" t="s">
        <v>264</v>
      </c>
      <c r="G19" s="396"/>
      <c r="H19" s="396"/>
      <c r="I19" s="396"/>
      <c r="J19" s="396"/>
      <c r="K19" s="396"/>
      <c r="L19" s="396"/>
      <c r="M19" s="396"/>
      <c r="N19" s="396"/>
      <c r="O19" s="396"/>
    </row>
    <row r="20" spans="1:15" x14ac:dyDescent="0.25">
      <c r="A20" s="1" t="s">
        <v>909</v>
      </c>
      <c r="B20" s="1" t="s">
        <v>875</v>
      </c>
      <c r="C20" s="396"/>
      <c r="D20" s="396"/>
      <c r="E20" s="396"/>
      <c r="F20" s="396"/>
      <c r="G20" s="396"/>
      <c r="H20" s="396"/>
      <c r="I20" s="396"/>
      <c r="J20" s="396"/>
      <c r="K20" s="396"/>
      <c r="L20" s="396"/>
      <c r="M20" s="396"/>
      <c r="N20" s="396"/>
      <c r="O20" s="396"/>
    </row>
    <row r="21" spans="1:15" x14ac:dyDescent="0.25">
      <c r="A21" s="1" t="s">
        <v>910</v>
      </c>
      <c r="B21" s="1" t="s">
        <v>858</v>
      </c>
      <c r="C21" s="396" t="s">
        <v>852</v>
      </c>
      <c r="D21" s="396" t="s">
        <v>874</v>
      </c>
      <c r="E21" s="396"/>
      <c r="F21" s="396"/>
      <c r="G21" s="396"/>
      <c r="H21" s="396"/>
      <c r="I21" s="396"/>
      <c r="J21" s="396"/>
      <c r="K21" s="396"/>
      <c r="L21" s="396"/>
      <c r="M21" s="396"/>
      <c r="N21" s="396"/>
      <c r="O21" s="396"/>
    </row>
    <row r="22" spans="1:15" x14ac:dyDescent="0.25">
      <c r="A22" s="1" t="s">
        <v>911</v>
      </c>
      <c r="B22" s="1"/>
      <c r="C22" s="396"/>
      <c r="D22" s="396"/>
      <c r="E22" s="396"/>
      <c r="F22" s="396"/>
      <c r="G22" s="396"/>
      <c r="H22" s="396"/>
      <c r="I22" s="396"/>
      <c r="J22" s="396"/>
      <c r="K22" s="396"/>
      <c r="L22" s="396"/>
      <c r="M22" s="396"/>
      <c r="N22" s="396"/>
      <c r="O22" s="396"/>
    </row>
    <row r="23" spans="1:15" x14ac:dyDescent="0.25">
      <c r="A23" s="1" t="s">
        <v>912</v>
      </c>
      <c r="B23" s="1" t="s">
        <v>857</v>
      </c>
      <c r="C23" s="396" t="s">
        <v>859</v>
      </c>
      <c r="D23" s="396" t="s">
        <v>863</v>
      </c>
      <c r="E23" s="396" t="s">
        <v>869</v>
      </c>
      <c r="F23" s="396" t="s">
        <v>884</v>
      </c>
      <c r="G23" s="396"/>
      <c r="H23" s="396"/>
      <c r="I23" s="396"/>
      <c r="J23" s="396"/>
      <c r="K23" s="396"/>
      <c r="L23" s="396"/>
      <c r="M23" s="396"/>
      <c r="N23" s="396"/>
      <c r="O23" s="396"/>
    </row>
    <row r="24" spans="1:15" x14ac:dyDescent="0.25">
      <c r="A24" s="1" t="s">
        <v>913</v>
      </c>
      <c r="B24" s="1" t="s">
        <v>865</v>
      </c>
      <c r="C24" s="396"/>
      <c r="D24" s="396"/>
      <c r="E24" s="396"/>
      <c r="F24" s="396"/>
      <c r="G24" s="396"/>
      <c r="H24" s="396"/>
      <c r="I24" s="396"/>
      <c r="J24" s="396"/>
      <c r="K24" s="396"/>
      <c r="L24" s="396"/>
      <c r="M24" s="396"/>
      <c r="N24" s="396"/>
      <c r="O24" s="396"/>
    </row>
    <row r="25" spans="1:15" x14ac:dyDescent="0.25">
      <c r="A25" s="1" t="s">
        <v>914</v>
      </c>
      <c r="B25" s="1"/>
      <c r="C25" s="396"/>
      <c r="D25" s="396"/>
      <c r="E25" s="396"/>
      <c r="F25" s="396"/>
      <c r="G25" s="396"/>
      <c r="H25" s="396"/>
      <c r="I25" s="396"/>
      <c r="J25" s="396"/>
      <c r="K25" s="396"/>
      <c r="L25" s="396"/>
      <c r="M25" s="396"/>
      <c r="N25" s="396"/>
      <c r="O25" s="396"/>
    </row>
    <row r="26" spans="1:15" x14ac:dyDescent="0.25">
      <c r="A26" s="1" t="s">
        <v>915</v>
      </c>
      <c r="B26" s="1"/>
      <c r="C26" s="396"/>
      <c r="D26" s="396"/>
      <c r="E26" s="396"/>
      <c r="F26" s="396"/>
      <c r="G26" s="396"/>
      <c r="H26" s="396"/>
      <c r="I26" s="396"/>
      <c r="J26" s="396"/>
      <c r="K26" s="396"/>
      <c r="L26" s="396"/>
      <c r="M26" s="396"/>
      <c r="N26" s="396"/>
      <c r="O26" s="396"/>
    </row>
    <row r="27" spans="1:15" x14ac:dyDescent="0.25">
      <c r="A27" s="1" t="s">
        <v>916</v>
      </c>
      <c r="B27" s="1"/>
      <c r="C27" s="396"/>
      <c r="D27" s="396"/>
      <c r="E27" s="396"/>
      <c r="F27" s="396"/>
      <c r="G27" s="396"/>
      <c r="H27" s="396"/>
      <c r="I27" s="396"/>
      <c r="J27" s="396"/>
      <c r="K27" s="396"/>
      <c r="L27" s="396"/>
      <c r="M27" s="396"/>
      <c r="N27" s="396"/>
      <c r="O27" s="396"/>
    </row>
    <row r="28" spans="1:15" x14ac:dyDescent="0.25">
      <c r="A28" s="1" t="s">
        <v>785</v>
      </c>
      <c r="B28" s="1"/>
      <c r="C28" s="396"/>
      <c r="D28" s="396"/>
      <c r="E28" s="396"/>
      <c r="F28" s="396"/>
      <c r="G28" s="396"/>
      <c r="H28" s="396"/>
      <c r="I28" s="396"/>
      <c r="J28" s="396"/>
      <c r="K28" s="396"/>
      <c r="L28" s="396"/>
      <c r="M28" s="396"/>
      <c r="N28" s="396"/>
      <c r="O28" s="396"/>
    </row>
    <row r="29" spans="1:15" x14ac:dyDescent="0.25">
      <c r="A29" s="1" t="s">
        <v>917</v>
      </c>
      <c r="B29" s="1" t="s">
        <v>8</v>
      </c>
      <c r="C29" s="396" t="s">
        <v>887</v>
      </c>
      <c r="D29" s="396" t="s">
        <v>889</v>
      </c>
      <c r="E29" s="396"/>
      <c r="F29" s="396"/>
      <c r="G29" s="396"/>
      <c r="H29" s="396"/>
      <c r="I29" s="396"/>
      <c r="J29" s="396"/>
      <c r="K29" s="396"/>
      <c r="L29" s="396"/>
      <c r="M29" s="396"/>
      <c r="N29" s="396"/>
      <c r="O29" s="396"/>
    </row>
    <row r="30" spans="1:15" x14ac:dyDescent="0.25">
      <c r="A30" s="1" t="s">
        <v>918</v>
      </c>
      <c r="B30" s="1"/>
      <c r="C30" s="1"/>
      <c r="D30" s="1"/>
      <c r="E30" s="1"/>
      <c r="F30" s="1"/>
      <c r="G30" s="1"/>
      <c r="H30" s="1"/>
      <c r="I30" s="1"/>
      <c r="J30" s="1"/>
      <c r="K30" s="1"/>
      <c r="L30" s="1"/>
      <c r="M30" s="1"/>
      <c r="N30" s="1"/>
      <c r="O30" s="1"/>
    </row>
    <row r="31" spans="1:15" x14ac:dyDescent="0.25">
      <c r="A31" s="1" t="s">
        <v>919</v>
      </c>
      <c r="B31" s="1"/>
      <c r="C31" s="1"/>
      <c r="D31" s="1"/>
      <c r="E31" s="1"/>
      <c r="F31" s="1"/>
      <c r="G31" s="1"/>
      <c r="H31" s="1"/>
      <c r="I31" s="1"/>
      <c r="J31" s="1"/>
      <c r="K31" s="1"/>
      <c r="L31" s="1"/>
      <c r="M31" s="1"/>
      <c r="N31" s="1"/>
      <c r="O31" s="1"/>
    </row>
    <row r="32" spans="1:15" x14ac:dyDescent="0.25">
      <c r="A32" s="1" t="s">
        <v>920</v>
      </c>
      <c r="B32" s="1"/>
      <c r="C32" s="1"/>
      <c r="D32" s="1"/>
      <c r="E32" s="1"/>
      <c r="F32" s="1"/>
      <c r="G32" s="1"/>
      <c r="H32" s="1"/>
      <c r="I32" s="1"/>
      <c r="J32" s="1"/>
      <c r="K32" s="1"/>
      <c r="L32" s="1"/>
      <c r="M32" s="1"/>
      <c r="N32" s="1"/>
      <c r="O32" s="1"/>
    </row>
    <row r="33" spans="1:15" x14ac:dyDescent="0.25">
      <c r="A33" s="1" t="s">
        <v>921</v>
      </c>
      <c r="B33" s="1"/>
      <c r="C33" s="1"/>
      <c r="D33" s="1"/>
      <c r="E33" s="1"/>
      <c r="F33" s="1"/>
      <c r="G33" s="1"/>
      <c r="H33" s="1"/>
      <c r="I33" s="1"/>
      <c r="J33" s="1"/>
      <c r="K33" s="1"/>
      <c r="L33" s="1"/>
      <c r="M33" s="1"/>
      <c r="N33" s="1"/>
      <c r="O33" s="1"/>
    </row>
    <row r="34" spans="1:15" x14ac:dyDescent="0.25">
      <c r="A34" s="1" t="s">
        <v>922</v>
      </c>
      <c r="B34" s="1"/>
      <c r="C34" s="1"/>
      <c r="D34" s="1"/>
      <c r="E34" s="1"/>
      <c r="F34" s="1"/>
      <c r="G34" s="1"/>
      <c r="H34" s="1"/>
      <c r="I34" s="1"/>
      <c r="J34" s="1"/>
      <c r="K34" s="1"/>
      <c r="L34" s="1"/>
      <c r="M34" s="1"/>
      <c r="N34" s="1"/>
      <c r="O34" s="1"/>
    </row>
    <row r="35" spans="1:15" x14ac:dyDescent="0.25">
      <c r="A35" s="1" t="s">
        <v>923</v>
      </c>
      <c r="B35" s="1"/>
      <c r="C35" s="1"/>
      <c r="D35" s="1"/>
      <c r="E35" s="1"/>
      <c r="F35" s="1"/>
      <c r="G35" s="1"/>
      <c r="H35" s="1"/>
      <c r="I35" s="1"/>
      <c r="J35" s="1"/>
      <c r="K35" s="1"/>
      <c r="L35" s="1"/>
      <c r="M35" s="1"/>
      <c r="N35" s="1"/>
      <c r="O35" s="1"/>
    </row>
    <row r="36" spans="1:15" x14ac:dyDescent="0.25">
      <c r="A36" s="1" t="s">
        <v>924</v>
      </c>
      <c r="B36" s="1"/>
      <c r="C36" s="1"/>
      <c r="D36" s="1"/>
      <c r="E36" s="1"/>
      <c r="F36" s="1"/>
      <c r="G36" s="1"/>
      <c r="H36" s="1"/>
      <c r="I36" s="1"/>
      <c r="J36" s="1"/>
      <c r="K36" s="1"/>
      <c r="L36" s="1"/>
      <c r="M36" s="1"/>
      <c r="N36" s="1"/>
      <c r="O36" s="1"/>
    </row>
    <row r="37" spans="1:15" x14ac:dyDescent="0.25">
      <c r="A37" s="1" t="s">
        <v>925</v>
      </c>
      <c r="B37" s="400" t="s">
        <v>360</v>
      </c>
      <c r="C37" s="1"/>
      <c r="D37" s="1"/>
      <c r="E37" s="1"/>
      <c r="F37" s="1"/>
      <c r="G37" s="1"/>
      <c r="H37" s="1"/>
      <c r="I37" s="1"/>
      <c r="J37" s="1"/>
      <c r="K37" s="1"/>
      <c r="L37" s="1"/>
      <c r="M37" s="1"/>
      <c r="N37" s="1"/>
      <c r="O37" s="1"/>
    </row>
    <row r="38" spans="1:15" x14ac:dyDescent="0.25">
      <c r="A38" s="1" t="s">
        <v>926</v>
      </c>
      <c r="B38" s="1"/>
      <c r="C38" s="1"/>
      <c r="D38" s="1"/>
      <c r="E38" s="1"/>
      <c r="F38" s="1"/>
      <c r="G38" s="1"/>
      <c r="H38" s="1"/>
      <c r="I38" s="1"/>
      <c r="J38" s="1"/>
      <c r="K38" s="1"/>
      <c r="L38" s="1"/>
      <c r="M38" s="1"/>
      <c r="N38" s="1"/>
      <c r="O38" s="1"/>
    </row>
    <row r="39" spans="1:15" x14ac:dyDescent="0.25">
      <c r="A39" s="1" t="s">
        <v>42</v>
      </c>
      <c r="B39" s="1"/>
      <c r="C39" s="1"/>
      <c r="D39" s="1"/>
      <c r="E39" s="1"/>
      <c r="F39" s="1"/>
      <c r="G39" s="1"/>
      <c r="H39" s="1"/>
      <c r="I39" s="1"/>
      <c r="J39" s="1"/>
      <c r="K39" s="1"/>
      <c r="L39" s="1"/>
      <c r="M39" s="1"/>
      <c r="N39" s="1"/>
      <c r="O39" s="1"/>
    </row>
    <row r="40" spans="1:15" x14ac:dyDescent="0.25">
      <c r="A40" s="1" t="s">
        <v>43</v>
      </c>
      <c r="B40" s="1"/>
      <c r="C40" s="1"/>
      <c r="D40" s="1"/>
      <c r="E40" s="1"/>
      <c r="F40" s="1"/>
      <c r="G40" s="1"/>
      <c r="H40" s="1"/>
      <c r="I40" s="1"/>
      <c r="J40" s="1"/>
      <c r="K40" s="1"/>
      <c r="L40" s="1"/>
      <c r="M40" s="1"/>
      <c r="N40" s="1"/>
      <c r="O40" s="1"/>
    </row>
    <row r="41" spans="1:15" x14ac:dyDescent="0.25">
      <c r="A41" s="1" t="s">
        <v>850</v>
      </c>
      <c r="B41" s="1"/>
      <c r="C41" s="1"/>
      <c r="D41" s="1"/>
      <c r="E41" s="1"/>
      <c r="F41" s="1"/>
      <c r="G41" s="1"/>
      <c r="H41" s="1"/>
      <c r="I41" s="1"/>
      <c r="J41" s="1"/>
      <c r="K41" s="1"/>
      <c r="L41" s="1"/>
      <c r="M41" s="1"/>
      <c r="N41" s="1"/>
      <c r="O41" s="1"/>
    </row>
    <row r="42" spans="1:15" x14ac:dyDescent="0.25">
      <c r="A42" s="1" t="s">
        <v>19</v>
      </c>
      <c r="B42" s="1"/>
      <c r="C42" s="1"/>
      <c r="D42" s="1"/>
      <c r="E42" s="1"/>
      <c r="F42" s="1"/>
      <c r="G42" s="1"/>
      <c r="H42" s="1"/>
      <c r="I42" s="1"/>
      <c r="J42" s="1"/>
      <c r="K42" s="1"/>
      <c r="L42" s="1"/>
      <c r="M42" s="1"/>
      <c r="N42" s="1"/>
      <c r="O42" s="1"/>
    </row>
    <row r="43" spans="1:15" x14ac:dyDescent="0.25">
      <c r="A43" s="1" t="s">
        <v>38</v>
      </c>
      <c r="B43" s="1"/>
      <c r="C43" s="1"/>
      <c r="D43" s="1"/>
      <c r="E43" s="1"/>
      <c r="F43" s="1"/>
      <c r="G43" s="1"/>
      <c r="H43" s="1"/>
      <c r="I43" s="1"/>
      <c r="J43" s="1"/>
      <c r="K43" s="1"/>
      <c r="L43" s="1"/>
      <c r="M43" s="1"/>
      <c r="N43" s="1"/>
      <c r="O43" s="1"/>
    </row>
    <row r="44" spans="1:15" x14ac:dyDescent="0.25">
      <c r="A44" s="1" t="s">
        <v>33</v>
      </c>
      <c r="B44" s="1"/>
      <c r="C44" s="1"/>
      <c r="D44" s="1"/>
      <c r="E44" s="1"/>
      <c r="F44" s="1"/>
      <c r="G44" s="1"/>
      <c r="H44" s="1"/>
      <c r="I44" s="1"/>
      <c r="J44" s="1"/>
      <c r="K44" s="1"/>
      <c r="L44" s="1"/>
      <c r="M44" s="1"/>
      <c r="N44" s="1"/>
      <c r="O44" s="1"/>
    </row>
    <row r="45" spans="1:15" x14ac:dyDescent="0.25">
      <c r="A45" s="1" t="s">
        <v>39</v>
      </c>
      <c r="B45" s="1"/>
      <c r="C45" s="1"/>
      <c r="D45" s="1"/>
      <c r="E45" s="1"/>
      <c r="F45" s="1"/>
      <c r="G45" s="1"/>
      <c r="H45" s="1"/>
      <c r="I45" s="1"/>
      <c r="J45" s="1"/>
      <c r="K45" s="1"/>
      <c r="L45" s="1"/>
      <c r="M45" s="1"/>
      <c r="N45" s="1"/>
      <c r="O4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13AA-8CF6-4748-A980-78E654EBD124}">
  <sheetPr codeName="Feuil5">
    <pageSetUpPr fitToPage="1"/>
  </sheetPr>
  <dimension ref="B1:N42"/>
  <sheetViews>
    <sheetView topLeftCell="F1" zoomScaleNormal="100" workbookViewId="0">
      <selection activeCell="J34" sqref="J34"/>
    </sheetView>
  </sheetViews>
  <sheetFormatPr baseColWidth="10" defaultRowHeight="15" x14ac:dyDescent="0.25"/>
  <cols>
    <col min="1" max="1" width="1.28515625" style="161" customWidth="1"/>
    <col min="2" max="2" width="13.28515625" style="161" customWidth="1"/>
    <col min="3" max="3" width="22.85546875" style="161" customWidth="1"/>
    <col min="4" max="4" width="2" style="161" customWidth="1"/>
    <col min="5" max="5" width="2.5703125" style="161" customWidth="1"/>
    <col min="6" max="6" width="50" style="161" customWidth="1"/>
    <col min="7" max="7" width="11.7109375" style="161" bestFit="1" customWidth="1"/>
    <col min="8" max="8" width="49.85546875" style="161" bestFit="1" customWidth="1"/>
    <col min="9" max="9" width="2.5703125" style="161" customWidth="1"/>
    <col min="10" max="10" width="87.140625" style="161" bestFit="1" customWidth="1"/>
    <col min="11" max="11" width="2.85546875" style="161" customWidth="1"/>
    <col min="12" max="12" width="30.140625" style="161" bestFit="1" customWidth="1"/>
    <col min="13" max="13" width="50.28515625" style="161" bestFit="1" customWidth="1"/>
    <col min="14" max="14" width="10.7109375" style="161" bestFit="1" customWidth="1"/>
    <col min="15" max="16384" width="11.42578125" style="161"/>
  </cols>
  <sheetData>
    <row r="1" spans="2:14" ht="15.75" thickBot="1" x14ac:dyDescent="0.3"/>
    <row r="2" spans="2:14" ht="38.25" thickBot="1" x14ac:dyDescent="0.3">
      <c r="B2" s="308" t="s">
        <v>572</v>
      </c>
      <c r="C2" s="309" t="s">
        <v>573</v>
      </c>
      <c r="F2" s="310" t="s">
        <v>650</v>
      </c>
      <c r="G2" s="311" t="s">
        <v>454</v>
      </c>
      <c r="H2" s="312" t="s">
        <v>453</v>
      </c>
    </row>
    <row r="3" spans="2:14" ht="38.25" thickBot="1" x14ac:dyDescent="0.3">
      <c r="B3" s="313"/>
      <c r="C3" s="314" t="s">
        <v>455</v>
      </c>
      <c r="F3" s="315" t="s">
        <v>621</v>
      </c>
      <c r="G3" s="120">
        <v>62</v>
      </c>
      <c r="H3" s="316" t="s">
        <v>473</v>
      </c>
      <c r="J3" s="317" t="s">
        <v>651</v>
      </c>
      <c r="L3" s="318" t="s">
        <v>609</v>
      </c>
      <c r="M3" s="319" t="s">
        <v>453</v>
      </c>
      <c r="N3" s="320" t="s">
        <v>578</v>
      </c>
    </row>
    <row r="4" spans="2:14" x14ac:dyDescent="0.25">
      <c r="B4" s="321" t="s">
        <v>461</v>
      </c>
      <c r="C4" s="322" t="s">
        <v>459</v>
      </c>
      <c r="F4" s="323" t="s">
        <v>622</v>
      </c>
      <c r="G4" s="121">
        <v>62</v>
      </c>
      <c r="H4" s="324" t="s">
        <v>473</v>
      </c>
      <c r="J4" s="129" t="s">
        <v>643</v>
      </c>
      <c r="L4" s="325" t="s">
        <v>579</v>
      </c>
      <c r="M4" s="326" t="s">
        <v>456</v>
      </c>
      <c r="N4" s="325" t="s">
        <v>457</v>
      </c>
    </row>
    <row r="5" spans="2:14" x14ac:dyDescent="0.25">
      <c r="B5" s="327" t="s">
        <v>457</v>
      </c>
      <c r="C5" s="328" t="s">
        <v>568</v>
      </c>
      <c r="F5" s="323" t="s">
        <v>623</v>
      </c>
      <c r="G5" s="121">
        <v>64</v>
      </c>
      <c r="H5" s="324" t="s">
        <v>464</v>
      </c>
      <c r="J5" s="129" t="s">
        <v>644</v>
      </c>
      <c r="L5" s="329" t="s">
        <v>580</v>
      </c>
      <c r="M5" s="330" t="s">
        <v>456</v>
      </c>
      <c r="N5" s="329" t="s">
        <v>457</v>
      </c>
    </row>
    <row r="6" spans="2:14" x14ac:dyDescent="0.25">
      <c r="B6" s="327">
        <v>62</v>
      </c>
      <c r="C6" s="328" t="s">
        <v>569</v>
      </c>
      <c r="F6" s="323" t="s">
        <v>624</v>
      </c>
      <c r="G6" s="121">
        <v>64</v>
      </c>
      <c r="H6" s="324" t="s">
        <v>464</v>
      </c>
      <c r="J6" s="161" t="s">
        <v>645</v>
      </c>
      <c r="L6" s="329" t="s">
        <v>581</v>
      </c>
      <c r="M6" s="330" t="s">
        <v>460</v>
      </c>
      <c r="N6" s="329" t="s">
        <v>461</v>
      </c>
    </row>
    <row r="7" spans="2:14" ht="30" x14ac:dyDescent="0.25">
      <c r="B7" s="327" t="s">
        <v>465</v>
      </c>
      <c r="C7" s="331" t="s">
        <v>571</v>
      </c>
      <c r="F7" s="323" t="s">
        <v>625</v>
      </c>
      <c r="G7" s="121" t="s">
        <v>457</v>
      </c>
      <c r="H7" s="324" t="s">
        <v>456</v>
      </c>
      <c r="J7" s="129" t="s">
        <v>646</v>
      </c>
      <c r="L7" s="329" t="s">
        <v>582</v>
      </c>
      <c r="M7" s="332" t="s">
        <v>462</v>
      </c>
      <c r="N7" s="333">
        <v>73</v>
      </c>
    </row>
    <row r="8" spans="2:14" x14ac:dyDescent="0.25">
      <c r="B8" s="327">
        <v>65</v>
      </c>
      <c r="C8" s="328" t="s">
        <v>468</v>
      </c>
      <c r="F8" s="323" t="s">
        <v>626</v>
      </c>
      <c r="G8" s="121">
        <v>64</v>
      </c>
      <c r="H8" s="324" t="s">
        <v>464</v>
      </c>
      <c r="L8" s="334" t="s">
        <v>583</v>
      </c>
      <c r="M8" s="335" t="s">
        <v>464</v>
      </c>
      <c r="N8" s="334" t="s">
        <v>465</v>
      </c>
    </row>
    <row r="9" spans="2:14" ht="15.75" thickBot="1" x14ac:dyDescent="0.3">
      <c r="B9" s="336" t="s">
        <v>476</v>
      </c>
      <c r="C9" s="337" t="s">
        <v>570</v>
      </c>
      <c r="F9" s="323" t="s">
        <v>468</v>
      </c>
      <c r="G9" s="121">
        <v>65</v>
      </c>
      <c r="H9" s="324" t="s">
        <v>627</v>
      </c>
      <c r="L9" s="334" t="s">
        <v>584</v>
      </c>
      <c r="M9" s="335" t="s">
        <v>464</v>
      </c>
      <c r="N9" s="334" t="s">
        <v>465</v>
      </c>
    </row>
    <row r="10" spans="2:14" ht="16.5" thickBot="1" x14ac:dyDescent="0.3">
      <c r="B10" s="338"/>
      <c r="C10" s="339" t="s">
        <v>16</v>
      </c>
      <c r="F10" s="323" t="s">
        <v>628</v>
      </c>
      <c r="G10" s="121">
        <v>64</v>
      </c>
      <c r="H10" s="324" t="s">
        <v>464</v>
      </c>
      <c r="J10" s="129" t="s">
        <v>647</v>
      </c>
      <c r="L10" s="334" t="s">
        <v>585</v>
      </c>
      <c r="M10" s="335" t="s">
        <v>464</v>
      </c>
      <c r="N10" s="334" t="s">
        <v>465</v>
      </c>
    </row>
    <row r="11" spans="2:14" x14ac:dyDescent="0.25">
      <c r="B11" s="340" t="s">
        <v>461</v>
      </c>
      <c r="C11" s="341" t="s">
        <v>459</v>
      </c>
      <c r="F11" s="323" t="s">
        <v>629</v>
      </c>
      <c r="G11" s="121">
        <v>64</v>
      </c>
      <c r="H11" s="324" t="s">
        <v>464</v>
      </c>
      <c r="J11" s="129" t="s">
        <v>648</v>
      </c>
      <c r="L11" s="334" t="s">
        <v>586</v>
      </c>
      <c r="M11" s="335" t="s">
        <v>464</v>
      </c>
      <c r="N11" s="334" t="s">
        <v>465</v>
      </c>
    </row>
    <row r="12" spans="2:14" x14ac:dyDescent="0.25">
      <c r="B12" s="342">
        <v>70</v>
      </c>
      <c r="C12" s="343" t="s">
        <v>485</v>
      </c>
      <c r="F12" s="323" t="s">
        <v>630</v>
      </c>
      <c r="G12" s="121">
        <v>64</v>
      </c>
      <c r="H12" s="324" t="s">
        <v>464</v>
      </c>
      <c r="J12" s="161" t="s">
        <v>649</v>
      </c>
      <c r="L12" s="329" t="s">
        <v>587</v>
      </c>
      <c r="M12" s="330" t="s">
        <v>469</v>
      </c>
      <c r="N12" s="329">
        <v>65</v>
      </c>
    </row>
    <row r="13" spans="2:14" ht="15.75" thickBot="1" x14ac:dyDescent="0.3">
      <c r="B13" s="344">
        <v>73</v>
      </c>
      <c r="C13" s="345" t="s">
        <v>574</v>
      </c>
      <c r="F13" s="323" t="s">
        <v>631</v>
      </c>
      <c r="G13" s="121">
        <v>64</v>
      </c>
      <c r="H13" s="324" t="s">
        <v>464</v>
      </c>
      <c r="L13" s="334" t="s">
        <v>588</v>
      </c>
      <c r="M13" s="335" t="s">
        <v>464</v>
      </c>
      <c r="N13" s="334" t="s">
        <v>465</v>
      </c>
    </row>
    <row r="14" spans="2:14" x14ac:dyDescent="0.25">
      <c r="C14" s="346"/>
      <c r="F14" s="323" t="s">
        <v>632</v>
      </c>
      <c r="G14" s="121">
        <v>64</v>
      </c>
      <c r="H14" s="324" t="s">
        <v>464</v>
      </c>
      <c r="L14" s="334" t="s">
        <v>589</v>
      </c>
      <c r="M14" s="335" t="s">
        <v>464</v>
      </c>
      <c r="N14" s="334" t="s">
        <v>465</v>
      </c>
    </row>
    <row r="15" spans="2:14" x14ac:dyDescent="0.25">
      <c r="F15" s="323" t="s">
        <v>471</v>
      </c>
      <c r="G15" s="121">
        <v>64</v>
      </c>
      <c r="H15" s="324" t="s">
        <v>464</v>
      </c>
      <c r="L15" s="334" t="s">
        <v>590</v>
      </c>
      <c r="M15" s="335" t="s">
        <v>464</v>
      </c>
      <c r="N15" s="334" t="s">
        <v>465</v>
      </c>
    </row>
    <row r="16" spans="2:14" x14ac:dyDescent="0.25">
      <c r="F16" s="323" t="s">
        <v>633</v>
      </c>
      <c r="G16" s="121">
        <v>64</v>
      </c>
      <c r="H16" s="324" t="s">
        <v>464</v>
      </c>
      <c r="L16" s="334" t="s">
        <v>591</v>
      </c>
      <c r="M16" s="335" t="s">
        <v>464</v>
      </c>
      <c r="N16" s="334" t="s">
        <v>465</v>
      </c>
    </row>
    <row r="17" spans="5:14" x14ac:dyDescent="0.25">
      <c r="F17" s="323" t="s">
        <v>634</v>
      </c>
      <c r="G17" s="121">
        <v>64</v>
      </c>
      <c r="H17" s="324" t="s">
        <v>464</v>
      </c>
      <c r="L17" s="334" t="s">
        <v>592</v>
      </c>
      <c r="M17" s="335" t="s">
        <v>464</v>
      </c>
      <c r="N17" s="334" t="s">
        <v>465</v>
      </c>
    </row>
    <row r="18" spans="5:14" ht="15.75" thickBot="1" x14ac:dyDescent="0.3">
      <c r="F18" s="347" t="s">
        <v>635</v>
      </c>
      <c r="G18" s="122" t="s">
        <v>476</v>
      </c>
      <c r="H18" s="348" t="s">
        <v>475</v>
      </c>
      <c r="L18" s="334" t="s">
        <v>593</v>
      </c>
      <c r="M18" s="335" t="s">
        <v>464</v>
      </c>
      <c r="N18" s="334" t="s">
        <v>465</v>
      </c>
    </row>
    <row r="19" spans="5:14" ht="30" x14ac:dyDescent="0.25">
      <c r="F19" s="349" t="s">
        <v>636</v>
      </c>
      <c r="G19" s="123">
        <v>73</v>
      </c>
      <c r="H19" s="350" t="s">
        <v>480</v>
      </c>
      <c r="L19" s="329" t="s">
        <v>594</v>
      </c>
      <c r="M19" s="330" t="s">
        <v>473</v>
      </c>
      <c r="N19" s="329">
        <v>62</v>
      </c>
    </row>
    <row r="20" spans="5:14" x14ac:dyDescent="0.25">
      <c r="F20" s="351" t="s">
        <v>637</v>
      </c>
      <c r="G20" s="124">
        <v>70</v>
      </c>
      <c r="H20" s="352" t="s">
        <v>484</v>
      </c>
      <c r="L20" s="334" t="s">
        <v>595</v>
      </c>
      <c r="M20" s="335" t="s">
        <v>464</v>
      </c>
      <c r="N20" s="334" t="s">
        <v>465</v>
      </c>
    </row>
    <row r="21" spans="5:14" ht="30" x14ac:dyDescent="0.25">
      <c r="F21" s="351" t="s">
        <v>638</v>
      </c>
      <c r="G21" s="124">
        <v>73</v>
      </c>
      <c r="H21" s="352" t="s">
        <v>480</v>
      </c>
      <c r="L21" s="334" t="s">
        <v>596</v>
      </c>
      <c r="M21" s="335" t="s">
        <v>464</v>
      </c>
      <c r="N21" s="334" t="s">
        <v>465</v>
      </c>
    </row>
    <row r="22" spans="5:14" ht="30" x14ac:dyDescent="0.25">
      <c r="F22" s="351" t="s">
        <v>639</v>
      </c>
      <c r="G22" s="124">
        <v>73</v>
      </c>
      <c r="H22" s="352" t="s">
        <v>480</v>
      </c>
      <c r="L22" s="334" t="s">
        <v>597</v>
      </c>
      <c r="M22" s="335" t="s">
        <v>464</v>
      </c>
      <c r="N22" s="334" t="s">
        <v>465</v>
      </c>
    </row>
    <row r="23" spans="5:14" ht="30" x14ac:dyDescent="0.25">
      <c r="F23" s="351" t="s">
        <v>640</v>
      </c>
      <c r="G23" s="124">
        <v>73</v>
      </c>
      <c r="H23" s="352" t="s">
        <v>480</v>
      </c>
      <c r="L23" s="329" t="s">
        <v>598</v>
      </c>
      <c r="M23" s="330" t="s">
        <v>475</v>
      </c>
      <c r="N23" s="329" t="s">
        <v>476</v>
      </c>
    </row>
    <row r="24" spans="5:14" ht="15.75" thickBot="1" x14ac:dyDescent="0.3">
      <c r="F24" s="353" t="s">
        <v>641</v>
      </c>
      <c r="G24" s="125">
        <v>70</v>
      </c>
      <c r="H24" s="354" t="s">
        <v>484</v>
      </c>
      <c r="L24" s="329" t="s">
        <v>599</v>
      </c>
      <c r="M24" s="330" t="s">
        <v>475</v>
      </c>
      <c r="N24" s="329" t="s">
        <v>476</v>
      </c>
    </row>
    <row r="25" spans="5:14" ht="15.75" thickBot="1" x14ac:dyDescent="0.3">
      <c r="F25" s="355" t="s">
        <v>642</v>
      </c>
      <c r="G25" s="356" t="s">
        <v>461</v>
      </c>
      <c r="H25" s="357" t="s">
        <v>460</v>
      </c>
      <c r="L25" s="329" t="s">
        <v>600</v>
      </c>
      <c r="M25" s="330" t="s">
        <v>475</v>
      </c>
      <c r="N25" s="329" t="s">
        <v>476</v>
      </c>
    </row>
    <row r="26" spans="5:14" ht="15.75" thickBot="1" x14ac:dyDescent="0.3">
      <c r="L26" s="358" t="s">
        <v>601</v>
      </c>
      <c r="M26" s="359" t="s">
        <v>477</v>
      </c>
      <c r="N26" s="358" t="s">
        <v>478</v>
      </c>
    </row>
    <row r="27" spans="5:14" ht="23.25" x14ac:dyDescent="0.25">
      <c r="E27" s="303" t="s">
        <v>660</v>
      </c>
      <c r="L27" s="360" t="s">
        <v>602</v>
      </c>
      <c r="M27" s="361" t="s">
        <v>460</v>
      </c>
      <c r="N27" s="362" t="s">
        <v>461</v>
      </c>
    </row>
    <row r="28" spans="5:14" ht="21.75" thickBot="1" x14ac:dyDescent="0.3">
      <c r="E28" s="128" t="s">
        <v>661</v>
      </c>
      <c r="L28" s="363" t="s">
        <v>34</v>
      </c>
      <c r="M28" s="364" t="s">
        <v>480</v>
      </c>
      <c r="N28" s="363">
        <v>73</v>
      </c>
    </row>
    <row r="29" spans="5:14" ht="19.5" thickBot="1" x14ac:dyDescent="0.3">
      <c r="E29" s="431" t="s">
        <v>662</v>
      </c>
      <c r="F29" s="432"/>
      <c r="G29" s="432"/>
      <c r="H29" s="433"/>
      <c r="L29" s="363" t="s">
        <v>35</v>
      </c>
      <c r="M29" s="364" t="s">
        <v>480</v>
      </c>
      <c r="N29" s="363">
        <v>73</v>
      </c>
    </row>
    <row r="30" spans="5:14" ht="19.5" thickBot="1" x14ac:dyDescent="0.3">
      <c r="E30" s="365"/>
      <c r="F30" s="403" t="s">
        <v>663</v>
      </c>
      <c r="G30" s="304"/>
      <c r="H30" s="305"/>
      <c r="L30" s="363" t="s">
        <v>36</v>
      </c>
      <c r="M30" s="364" t="s">
        <v>480</v>
      </c>
      <c r="N30" s="363">
        <v>73</v>
      </c>
    </row>
    <row r="31" spans="5:14" ht="19.5" thickBot="1" x14ac:dyDescent="0.3">
      <c r="E31" s="438" t="s">
        <v>664</v>
      </c>
      <c r="F31" s="439"/>
      <c r="G31" s="439"/>
      <c r="H31" s="440"/>
      <c r="L31" s="363" t="s">
        <v>37</v>
      </c>
      <c r="M31" s="364" t="s">
        <v>480</v>
      </c>
      <c r="N31" s="363">
        <v>73</v>
      </c>
    </row>
    <row r="32" spans="5:14" ht="18" thickBot="1" x14ac:dyDescent="0.3">
      <c r="E32" s="306"/>
      <c r="F32" s="403" t="s">
        <v>665</v>
      </c>
      <c r="G32" s="304"/>
      <c r="H32" s="305"/>
      <c r="L32" s="363" t="s">
        <v>603</v>
      </c>
      <c r="M32" s="364" t="s">
        <v>484</v>
      </c>
      <c r="N32" s="363">
        <v>70</v>
      </c>
    </row>
    <row r="33" spans="5:14" ht="19.5" thickBot="1" x14ac:dyDescent="0.3">
      <c r="E33" s="431" t="s">
        <v>666</v>
      </c>
      <c r="F33" s="432"/>
      <c r="G33" s="432"/>
      <c r="H33" s="433"/>
      <c r="L33" s="366" t="s">
        <v>604</v>
      </c>
      <c r="M33" s="367"/>
      <c r="N33" s="366" t="s">
        <v>478</v>
      </c>
    </row>
    <row r="34" spans="5:14" ht="18" thickBot="1" x14ac:dyDescent="0.3">
      <c r="E34" s="307"/>
      <c r="F34" s="403" t="s">
        <v>667</v>
      </c>
      <c r="G34" s="304"/>
      <c r="H34" s="305"/>
      <c r="L34" s="368" t="s">
        <v>605</v>
      </c>
      <c r="M34" s="364" t="s">
        <v>480</v>
      </c>
      <c r="N34" s="363">
        <v>73</v>
      </c>
    </row>
    <row r="35" spans="5:14" ht="19.5" thickBot="1" x14ac:dyDescent="0.3">
      <c r="E35" s="438" t="s">
        <v>668</v>
      </c>
      <c r="F35" s="439"/>
      <c r="G35" s="439"/>
      <c r="H35" s="440"/>
      <c r="L35" s="368" t="s">
        <v>40</v>
      </c>
      <c r="M35" s="364" t="s">
        <v>480</v>
      </c>
      <c r="N35" s="363">
        <v>73</v>
      </c>
    </row>
    <row r="36" spans="5:14" ht="18" thickBot="1" x14ac:dyDescent="0.3">
      <c r="E36" s="306"/>
      <c r="F36" s="434" t="s">
        <v>674</v>
      </c>
      <c r="G36" s="434"/>
      <c r="H36" s="435"/>
      <c r="L36" s="368" t="s">
        <v>41</v>
      </c>
      <c r="M36" s="364" t="s">
        <v>480</v>
      </c>
      <c r="N36" s="363">
        <v>73</v>
      </c>
    </row>
    <row r="37" spans="5:14" ht="19.5" thickBot="1" x14ac:dyDescent="0.3">
      <c r="E37" s="431" t="s">
        <v>669</v>
      </c>
      <c r="F37" s="432"/>
      <c r="G37" s="432"/>
      <c r="H37" s="433"/>
      <c r="L37" s="368" t="s">
        <v>42</v>
      </c>
      <c r="M37" s="364" t="s">
        <v>480</v>
      </c>
      <c r="N37" s="363">
        <v>73</v>
      </c>
    </row>
    <row r="38" spans="5:14" ht="18" thickBot="1" x14ac:dyDescent="0.3">
      <c r="E38" s="307"/>
      <c r="F38" s="403" t="s">
        <v>670</v>
      </c>
      <c r="G38" s="304"/>
      <c r="H38" s="305"/>
      <c r="L38" s="368" t="s">
        <v>43</v>
      </c>
      <c r="M38" s="364" t="s">
        <v>480</v>
      </c>
      <c r="N38" s="363">
        <v>73</v>
      </c>
    </row>
    <row r="39" spans="5:14" ht="19.5" thickBot="1" x14ac:dyDescent="0.3">
      <c r="E39" s="438" t="s">
        <v>671</v>
      </c>
      <c r="F39" s="439"/>
      <c r="G39" s="439"/>
      <c r="H39" s="440"/>
      <c r="L39" s="368" t="s">
        <v>44</v>
      </c>
      <c r="M39" s="364" t="s">
        <v>480</v>
      </c>
      <c r="N39" s="363">
        <v>73</v>
      </c>
    </row>
    <row r="40" spans="5:14" ht="19.5" thickBot="1" x14ac:dyDescent="0.3">
      <c r="E40" s="306"/>
      <c r="F40" s="436" t="s">
        <v>675</v>
      </c>
      <c r="G40" s="436"/>
      <c r="H40" s="437"/>
      <c r="L40" s="363" t="s">
        <v>606</v>
      </c>
      <c r="M40" s="364" t="s">
        <v>484</v>
      </c>
      <c r="N40" s="363">
        <v>70</v>
      </c>
    </row>
    <row r="41" spans="5:14" ht="19.5" thickBot="1" x14ac:dyDescent="0.3">
      <c r="E41" s="431" t="s">
        <v>672</v>
      </c>
      <c r="F41" s="432"/>
      <c r="G41" s="432"/>
      <c r="H41" s="433"/>
      <c r="L41" s="363" t="s">
        <v>607</v>
      </c>
      <c r="M41" s="364" t="s">
        <v>484</v>
      </c>
      <c r="N41" s="363">
        <v>70</v>
      </c>
    </row>
    <row r="42" spans="5:14" ht="18" thickBot="1" x14ac:dyDescent="0.3">
      <c r="E42" s="307"/>
      <c r="F42" s="403" t="s">
        <v>673</v>
      </c>
      <c r="G42" s="304"/>
      <c r="H42" s="305"/>
      <c r="L42" s="369" t="s">
        <v>608</v>
      </c>
      <c r="M42" s="370" t="s">
        <v>484</v>
      </c>
      <c r="N42" s="369">
        <v>70</v>
      </c>
    </row>
  </sheetData>
  <mergeCells count="9">
    <mergeCell ref="E41:H41"/>
    <mergeCell ref="F36:H36"/>
    <mergeCell ref="F40:H40"/>
    <mergeCell ref="E31:H31"/>
    <mergeCell ref="E29:H29"/>
    <mergeCell ref="E33:H33"/>
    <mergeCell ref="E35:H35"/>
    <mergeCell ref="E37:H37"/>
    <mergeCell ref="E39:H39"/>
  </mergeCells>
  <pageMargins left="3.937007874015748E-2" right="3.937007874015748E-2" top="0.15748031496062992" bottom="0.15748031496062992" header="0" footer="0"/>
  <pageSetup paperSize="9" scale="43"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7B8A-C4DA-4AB4-A175-3C4B21F9270B}">
  <sheetPr codeName="Feuil6">
    <tabColor theme="9"/>
  </sheetPr>
  <dimension ref="B1:O28"/>
  <sheetViews>
    <sheetView showGridLines="0" workbookViewId="0">
      <selection activeCell="O5" sqref="O5"/>
    </sheetView>
  </sheetViews>
  <sheetFormatPr baseColWidth="10" defaultRowHeight="15" x14ac:dyDescent="0.25"/>
  <cols>
    <col min="1" max="1" width="2.42578125" customWidth="1"/>
    <col min="2" max="2" width="44" bestFit="1" customWidth="1"/>
    <col min="3" max="3" width="0.85546875" customWidth="1"/>
    <col min="4" max="4" width="14.5703125" bestFit="1" customWidth="1"/>
    <col min="5" max="5" width="17.7109375" bestFit="1" customWidth="1"/>
    <col min="6" max="6" width="22.7109375" bestFit="1" customWidth="1"/>
    <col min="7" max="7" width="13.28515625" bestFit="1" customWidth="1"/>
    <col min="8" max="8" width="0.85546875" customWidth="1"/>
    <col min="9" max="9" width="7" bestFit="1" customWidth="1"/>
    <col min="10" max="10" width="12.5703125" bestFit="1" customWidth="1"/>
    <col min="11" max="11" width="20.85546875" bestFit="1" customWidth="1"/>
    <col min="12" max="12" width="19.5703125" bestFit="1" customWidth="1"/>
    <col min="13" max="13" width="0.7109375" customWidth="1"/>
    <col min="14" max="14" width="16.7109375" customWidth="1"/>
    <col min="15" max="15" width="34.7109375" bestFit="1" customWidth="1"/>
  </cols>
  <sheetData>
    <row r="1" spans="2:15" ht="8.25" customHeight="1" thickBot="1" x14ac:dyDescent="0.3"/>
    <row r="2" spans="2:15" ht="21.75" thickBot="1" x14ac:dyDescent="0.3">
      <c r="B2" s="114" t="s">
        <v>614</v>
      </c>
    </row>
    <row r="3" spans="2:15" ht="7.5" customHeight="1" thickBot="1" x14ac:dyDescent="0.3"/>
    <row r="4" spans="2:15" ht="19.5" thickBot="1" x14ac:dyDescent="0.35">
      <c r="B4" s="109" t="s">
        <v>613</v>
      </c>
      <c r="C4" s="95"/>
      <c r="D4" s="441" t="s">
        <v>518</v>
      </c>
      <c r="E4" s="442"/>
      <c r="F4" s="442"/>
      <c r="G4" s="442"/>
      <c r="H4" s="95"/>
      <c r="I4" s="442" t="s">
        <v>517</v>
      </c>
      <c r="J4" s="442"/>
      <c r="K4" s="442"/>
      <c r="L4" s="442"/>
      <c r="M4" s="95"/>
      <c r="N4" s="119" t="s">
        <v>618</v>
      </c>
      <c r="O4" s="90" t="s">
        <v>617</v>
      </c>
    </row>
    <row r="5" spans="2:15" x14ac:dyDescent="0.25">
      <c r="B5" s="105" t="str">
        <f>_xlfn.CONCAT(D5,E5,F5,G5)</f>
        <v>01_Bureaux\1_Loyer</v>
      </c>
      <c r="C5" s="95"/>
      <c r="D5" s="99" t="s">
        <v>486</v>
      </c>
      <c r="E5" s="83" t="s">
        <v>487</v>
      </c>
      <c r="F5" s="83"/>
      <c r="G5" s="86"/>
      <c r="H5" s="95"/>
      <c r="I5" s="99" t="s">
        <v>511</v>
      </c>
      <c r="J5" s="83" t="s">
        <v>540</v>
      </c>
      <c r="K5" s="83"/>
      <c r="L5" s="86"/>
      <c r="M5" s="95"/>
      <c r="N5" s="115"/>
      <c r="O5" s="91" t="s">
        <v>520</v>
      </c>
    </row>
    <row r="6" spans="2:15" x14ac:dyDescent="0.25">
      <c r="B6" s="103" t="str">
        <f t="shared" ref="B6:B28" si="0">_xlfn.CONCAT(D6,E6,F6,G6)</f>
        <v>01_Bureaux\2_Assurance</v>
      </c>
      <c r="C6" s="96"/>
      <c r="D6" s="100" t="s">
        <v>486</v>
      </c>
      <c r="E6" s="1" t="s">
        <v>488</v>
      </c>
      <c r="F6" s="1"/>
      <c r="G6" s="87"/>
      <c r="H6" s="96"/>
      <c r="I6" s="100" t="s">
        <v>511</v>
      </c>
      <c r="J6" s="1" t="s">
        <v>541</v>
      </c>
      <c r="K6" s="1"/>
      <c r="L6" s="87"/>
      <c r="M6" s="96"/>
      <c r="N6" s="116"/>
      <c r="O6" s="92" t="s">
        <v>521</v>
      </c>
    </row>
    <row r="7" spans="2:15" x14ac:dyDescent="0.25">
      <c r="B7" s="103" t="str">
        <f t="shared" si="0"/>
        <v>01_Bureaux\3_Charges</v>
      </c>
      <c r="C7" s="96"/>
      <c r="D7" s="100" t="s">
        <v>486</v>
      </c>
      <c r="E7" s="1" t="s">
        <v>489</v>
      </c>
      <c r="F7" s="1"/>
      <c r="G7" s="87"/>
      <c r="H7" s="96"/>
      <c r="I7" s="100" t="s">
        <v>511</v>
      </c>
      <c r="J7" s="1" t="s">
        <v>542</v>
      </c>
      <c r="K7" s="1"/>
      <c r="L7" s="87"/>
      <c r="M7" s="96"/>
      <c r="N7" s="116"/>
      <c r="O7" s="92" t="s">
        <v>523</v>
      </c>
    </row>
    <row r="8" spans="2:15" x14ac:dyDescent="0.25">
      <c r="B8" s="103" t="str">
        <f t="shared" si="0"/>
        <v>01_Bureaux\4_Télécom</v>
      </c>
      <c r="C8" s="96"/>
      <c r="D8" s="100" t="s">
        <v>486</v>
      </c>
      <c r="E8" s="1" t="s">
        <v>490</v>
      </c>
      <c r="F8" s="1"/>
      <c r="G8" s="87"/>
      <c r="H8" s="96"/>
      <c r="I8" s="100" t="s">
        <v>511</v>
      </c>
      <c r="J8" s="1" t="s">
        <v>543</v>
      </c>
      <c r="K8" s="1"/>
      <c r="L8" s="87"/>
      <c r="M8" s="96"/>
      <c r="N8" s="116"/>
      <c r="O8" s="92" t="s">
        <v>524</v>
      </c>
    </row>
    <row r="9" spans="2:15" x14ac:dyDescent="0.25">
      <c r="B9" s="103" t="str">
        <f t="shared" si="0"/>
        <v>01_Bureaux\5_Catering</v>
      </c>
      <c r="C9" s="96"/>
      <c r="D9" s="100" t="s">
        <v>486</v>
      </c>
      <c r="E9" s="1" t="s">
        <v>509</v>
      </c>
      <c r="F9" s="1"/>
      <c r="G9" s="87"/>
      <c r="H9" s="96"/>
      <c r="I9" s="100" t="s">
        <v>511</v>
      </c>
      <c r="J9" s="1" t="s">
        <v>544</v>
      </c>
      <c r="K9" s="1"/>
      <c r="L9" s="87"/>
      <c r="M9" s="96"/>
      <c r="N9" s="116"/>
      <c r="O9" s="92" t="s">
        <v>522</v>
      </c>
    </row>
    <row r="10" spans="2:15" ht="15.75" thickBot="1" x14ac:dyDescent="0.3">
      <c r="B10" s="106" t="str">
        <f t="shared" si="0"/>
        <v>01_Bureaux\6_Animaux</v>
      </c>
      <c r="C10" s="97"/>
      <c r="D10" s="101" t="s">
        <v>486</v>
      </c>
      <c r="E10" s="85" t="s">
        <v>510</v>
      </c>
      <c r="F10" s="85"/>
      <c r="G10" s="88"/>
      <c r="H10" s="97"/>
      <c r="I10" s="101" t="s">
        <v>511</v>
      </c>
      <c r="J10" s="85" t="s">
        <v>545</v>
      </c>
      <c r="K10" s="85"/>
      <c r="L10" s="88"/>
      <c r="M10" s="97"/>
      <c r="N10" s="117"/>
      <c r="O10" s="93" t="s">
        <v>525</v>
      </c>
    </row>
    <row r="11" spans="2:15" x14ac:dyDescent="0.25">
      <c r="B11" s="105" t="str">
        <f t="shared" si="0"/>
        <v>02_RH\1_Assurance</v>
      </c>
      <c r="C11" s="95"/>
      <c r="D11" s="99" t="s">
        <v>615</v>
      </c>
      <c r="E11" s="83" t="s">
        <v>616</v>
      </c>
      <c r="F11" s="83"/>
      <c r="G11" s="86"/>
      <c r="H11" s="95"/>
      <c r="I11" s="99" t="s">
        <v>512</v>
      </c>
      <c r="J11" s="83" t="s">
        <v>546</v>
      </c>
      <c r="K11" s="83"/>
      <c r="L11" s="86"/>
      <c r="M11" s="95"/>
      <c r="N11" s="115"/>
      <c r="O11" s="91" t="s">
        <v>532</v>
      </c>
    </row>
    <row r="12" spans="2:15" x14ac:dyDescent="0.25">
      <c r="B12" s="103" t="str">
        <f t="shared" si="0"/>
        <v>02_RH\2_UCM\01_Envel.Paie (Salaires)</v>
      </c>
      <c r="C12" s="96"/>
      <c r="D12" s="100" t="s">
        <v>615</v>
      </c>
      <c r="E12" s="1" t="s">
        <v>491</v>
      </c>
      <c r="F12" s="1" t="s">
        <v>519</v>
      </c>
      <c r="G12" s="87"/>
      <c r="H12" s="96"/>
      <c r="I12" s="100" t="s">
        <v>512</v>
      </c>
      <c r="J12" s="1" t="s">
        <v>547</v>
      </c>
      <c r="K12" s="1" t="s">
        <v>553</v>
      </c>
      <c r="L12" s="87"/>
      <c r="M12" s="96"/>
      <c r="N12" s="116"/>
      <c r="O12" s="92" t="s">
        <v>533</v>
      </c>
    </row>
    <row r="13" spans="2:15" x14ac:dyDescent="0.25">
      <c r="B13" s="103" t="str">
        <f t="shared" si="0"/>
        <v>02_RH\2_UCM\02_ONSS</v>
      </c>
      <c r="C13" s="96"/>
      <c r="D13" s="100" t="s">
        <v>615</v>
      </c>
      <c r="E13" s="1" t="s">
        <v>491</v>
      </c>
      <c r="F13" s="1" t="s">
        <v>492</v>
      </c>
      <c r="G13" s="87"/>
      <c r="H13" s="96"/>
      <c r="I13" s="100" t="s">
        <v>512</v>
      </c>
      <c r="J13" s="1" t="s">
        <v>547</v>
      </c>
      <c r="K13" s="1" t="s">
        <v>554</v>
      </c>
      <c r="L13" s="87"/>
      <c r="M13" s="96"/>
      <c r="N13" s="116"/>
      <c r="O13" s="92" t="s">
        <v>534</v>
      </c>
    </row>
    <row r="14" spans="2:15" x14ac:dyDescent="0.25">
      <c r="B14" s="103" t="str">
        <f t="shared" si="0"/>
        <v>02_RH\2_UCM\03_Precompte</v>
      </c>
      <c r="C14" s="96"/>
      <c r="D14" s="100" t="s">
        <v>615</v>
      </c>
      <c r="E14" s="1" t="s">
        <v>491</v>
      </c>
      <c r="F14" s="1" t="s">
        <v>493</v>
      </c>
      <c r="G14" s="87"/>
      <c r="H14" s="96"/>
      <c r="I14" s="100" t="s">
        <v>512</v>
      </c>
      <c r="J14" s="1" t="s">
        <v>547</v>
      </c>
      <c r="K14" s="1" t="s">
        <v>619</v>
      </c>
      <c r="L14" s="87"/>
      <c r="M14" s="96"/>
      <c r="N14" s="116"/>
      <c r="O14" s="92" t="s">
        <v>620</v>
      </c>
    </row>
    <row r="15" spans="2:15" x14ac:dyDescent="0.25">
      <c r="B15" s="103" t="str">
        <f t="shared" si="0"/>
        <v>02_RH\2_UCM\04_Frais de gestion</v>
      </c>
      <c r="C15" s="96"/>
      <c r="D15" s="100" t="s">
        <v>615</v>
      </c>
      <c r="E15" s="1" t="s">
        <v>491</v>
      </c>
      <c r="F15" s="1" t="s">
        <v>494</v>
      </c>
      <c r="G15" s="87"/>
      <c r="H15" s="96"/>
      <c r="I15" s="100" t="s">
        <v>512</v>
      </c>
      <c r="J15" s="1" t="s">
        <v>547</v>
      </c>
      <c r="K15" s="1" t="s">
        <v>555</v>
      </c>
      <c r="L15" s="87"/>
      <c r="M15" s="96"/>
      <c r="N15" s="116"/>
      <c r="O15" s="92" t="s">
        <v>537</v>
      </c>
    </row>
    <row r="16" spans="2:15" x14ac:dyDescent="0.25">
      <c r="B16" s="103" t="str">
        <f t="shared" si="0"/>
        <v>02_RH\2_UCM\05_Ecritures comptables</v>
      </c>
      <c r="C16" s="96"/>
      <c r="D16" s="100" t="s">
        <v>615</v>
      </c>
      <c r="E16" s="1" t="s">
        <v>491</v>
      </c>
      <c r="F16" s="1" t="s">
        <v>514</v>
      </c>
      <c r="G16" s="87"/>
      <c r="H16" s="96"/>
      <c r="I16" s="100" t="s">
        <v>512</v>
      </c>
      <c r="J16" s="1" t="s">
        <v>547</v>
      </c>
      <c r="K16" s="1" t="s">
        <v>556</v>
      </c>
      <c r="L16" s="87"/>
      <c r="M16" s="96"/>
      <c r="N16" s="116"/>
      <c r="O16" s="92" t="s">
        <v>538</v>
      </c>
    </row>
    <row r="17" spans="2:15" x14ac:dyDescent="0.25">
      <c r="B17" s="103" t="str">
        <f t="shared" si="0"/>
        <v>02_RH\3_Notes de frais\1_Docs word</v>
      </c>
      <c r="C17" s="96"/>
      <c r="D17" s="100" t="s">
        <v>615</v>
      </c>
      <c r="E17" s="1" t="s">
        <v>495</v>
      </c>
      <c r="F17" s="1" t="s">
        <v>496</v>
      </c>
      <c r="G17" s="87"/>
      <c r="H17" s="96"/>
      <c r="I17" s="100" t="s">
        <v>512</v>
      </c>
      <c r="J17" s="1" t="s">
        <v>548</v>
      </c>
      <c r="K17" s="1" t="s">
        <v>549</v>
      </c>
      <c r="L17" s="87"/>
      <c r="M17" s="96"/>
      <c r="N17" s="116"/>
      <c r="O17" s="92" t="s">
        <v>552</v>
      </c>
    </row>
    <row r="18" spans="2:15" x14ac:dyDescent="0.25">
      <c r="B18" s="103" t="str">
        <f t="shared" si="0"/>
        <v>02_RH\3_Notes de frais\2_Pieces justificatives</v>
      </c>
      <c r="C18" s="96"/>
      <c r="D18" s="100" t="s">
        <v>615</v>
      </c>
      <c r="E18" s="1" t="s">
        <v>495</v>
      </c>
      <c r="F18" s="1" t="s">
        <v>497</v>
      </c>
      <c r="G18" s="87"/>
      <c r="H18" s="96"/>
      <c r="I18" s="100" t="s">
        <v>512</v>
      </c>
      <c r="J18" s="1" t="s">
        <v>548</v>
      </c>
      <c r="K18" s="1" t="s">
        <v>550</v>
      </c>
      <c r="L18" s="87"/>
      <c r="M18" s="96"/>
      <c r="N18" s="116"/>
      <c r="O18" s="92" t="s">
        <v>536</v>
      </c>
    </row>
    <row r="19" spans="2:15" ht="15.75" thickBot="1" x14ac:dyDescent="0.3">
      <c r="B19" s="106" t="str">
        <f t="shared" si="0"/>
        <v>02_RH\3_Notes de frais\3_Final_(Signe&amp;Pieces)</v>
      </c>
      <c r="C19" s="98"/>
      <c r="D19" s="102" t="s">
        <v>615</v>
      </c>
      <c r="E19" s="84" t="s">
        <v>495</v>
      </c>
      <c r="F19" s="84" t="s">
        <v>516</v>
      </c>
      <c r="G19" s="89"/>
      <c r="H19" s="98"/>
      <c r="I19" s="102" t="s">
        <v>512</v>
      </c>
      <c r="J19" s="84" t="s">
        <v>548</v>
      </c>
      <c r="K19" s="84" t="s">
        <v>551</v>
      </c>
      <c r="L19" s="89"/>
      <c r="M19" s="98"/>
      <c r="N19" s="118"/>
      <c r="O19" s="94" t="s">
        <v>535</v>
      </c>
    </row>
    <row r="20" spans="2:15" x14ac:dyDescent="0.25">
      <c r="B20" s="105" t="str">
        <f t="shared" si="0"/>
        <v>03_Frais fonct.\1_IT\1_Web\Hébergement</v>
      </c>
      <c r="C20" s="95"/>
      <c r="D20" s="99" t="s">
        <v>515</v>
      </c>
      <c r="E20" s="83" t="s">
        <v>498</v>
      </c>
      <c r="F20" s="83" t="s">
        <v>499</v>
      </c>
      <c r="G20" s="86" t="s">
        <v>470</v>
      </c>
      <c r="H20" s="95"/>
      <c r="I20" s="99" t="s">
        <v>513</v>
      </c>
      <c r="J20" s="83" t="s">
        <v>557</v>
      </c>
      <c r="K20" s="83" t="s">
        <v>612</v>
      </c>
      <c r="L20" s="86" t="s">
        <v>610</v>
      </c>
      <c r="M20" s="95"/>
      <c r="N20" s="115"/>
      <c r="O20" s="91" t="s">
        <v>566</v>
      </c>
    </row>
    <row r="21" spans="2:15" x14ac:dyDescent="0.25">
      <c r="B21" s="103" t="str">
        <f t="shared" si="0"/>
        <v>03_Frais fonct.\1_IT\1_Web\Services</v>
      </c>
      <c r="C21" s="96"/>
      <c r="D21" s="100" t="s">
        <v>515</v>
      </c>
      <c r="E21" s="1" t="s">
        <v>498</v>
      </c>
      <c r="F21" s="1" t="s">
        <v>499</v>
      </c>
      <c r="G21" s="87" t="s">
        <v>500</v>
      </c>
      <c r="H21" s="96"/>
      <c r="I21" s="100" t="s">
        <v>513</v>
      </c>
      <c r="J21" s="1" t="s">
        <v>557</v>
      </c>
      <c r="K21" s="1" t="s">
        <v>612</v>
      </c>
      <c r="L21" s="87" t="s">
        <v>611</v>
      </c>
      <c r="M21" s="96"/>
      <c r="N21" s="116"/>
      <c r="O21" s="92" t="s">
        <v>567</v>
      </c>
    </row>
    <row r="22" spans="2:15" x14ac:dyDescent="0.25">
      <c r="B22" s="103" t="str">
        <f t="shared" si="0"/>
        <v>03_Frais fonct.\1_IT\2_Softwares</v>
      </c>
      <c r="C22" s="96"/>
      <c r="D22" s="100" t="s">
        <v>515</v>
      </c>
      <c r="E22" s="1" t="s">
        <v>498</v>
      </c>
      <c r="F22" s="1" t="s">
        <v>501</v>
      </c>
      <c r="G22" s="87"/>
      <c r="H22" s="96"/>
      <c r="I22" s="100" t="s">
        <v>513</v>
      </c>
      <c r="J22" s="1" t="s">
        <v>557</v>
      </c>
      <c r="K22" s="1" t="s">
        <v>561</v>
      </c>
      <c r="L22" s="87"/>
      <c r="M22" s="96"/>
      <c r="N22" s="116"/>
      <c r="O22" s="92" t="s">
        <v>539</v>
      </c>
    </row>
    <row r="23" spans="2:15" x14ac:dyDescent="0.25">
      <c r="B23" s="103" t="str">
        <f t="shared" si="0"/>
        <v>03_Frais fonct.\1_IT\3_Hardware</v>
      </c>
      <c r="C23" s="96"/>
      <c r="D23" s="100" t="s">
        <v>515</v>
      </c>
      <c r="E23" s="1" t="s">
        <v>498</v>
      </c>
      <c r="F23" s="1" t="s">
        <v>502</v>
      </c>
      <c r="G23" s="87"/>
      <c r="H23" s="96"/>
      <c r="I23" s="100" t="s">
        <v>513</v>
      </c>
      <c r="J23" s="1" t="s">
        <v>557</v>
      </c>
      <c r="K23" s="1" t="s">
        <v>562</v>
      </c>
      <c r="L23" s="87"/>
      <c r="M23" s="96"/>
      <c r="N23" s="116"/>
      <c r="O23" s="92" t="s">
        <v>531</v>
      </c>
    </row>
    <row r="24" spans="2:15" x14ac:dyDescent="0.25">
      <c r="B24" s="103" t="str">
        <f t="shared" si="0"/>
        <v>03_Frais fonct.\2_Documentation\1_Livres</v>
      </c>
      <c r="C24" s="96"/>
      <c r="D24" s="100" t="s">
        <v>515</v>
      </c>
      <c r="E24" s="1" t="s">
        <v>503</v>
      </c>
      <c r="F24" s="1" t="s">
        <v>504</v>
      </c>
      <c r="G24" s="87"/>
      <c r="H24" s="96"/>
      <c r="I24" s="100" t="s">
        <v>513</v>
      </c>
      <c r="J24" s="1" t="s">
        <v>558</v>
      </c>
      <c r="K24" s="1" t="s">
        <v>563</v>
      </c>
      <c r="L24" s="87"/>
      <c r="M24" s="96"/>
      <c r="N24" s="116"/>
      <c r="O24" s="92" t="s">
        <v>528</v>
      </c>
    </row>
    <row r="25" spans="2:15" x14ac:dyDescent="0.25">
      <c r="B25" s="103" t="str">
        <f t="shared" si="0"/>
        <v>03_Frais fonct.\2_Documentation\2_Juridique</v>
      </c>
      <c r="C25" s="96"/>
      <c r="D25" s="100" t="s">
        <v>515</v>
      </c>
      <c r="E25" s="1" t="s">
        <v>503</v>
      </c>
      <c r="F25" s="1" t="s">
        <v>505</v>
      </c>
      <c r="G25" s="87"/>
      <c r="H25" s="96"/>
      <c r="I25" s="100" t="s">
        <v>513</v>
      </c>
      <c r="J25" s="1" t="s">
        <v>558</v>
      </c>
      <c r="K25" s="1" t="s">
        <v>564</v>
      </c>
      <c r="L25" s="87"/>
      <c r="M25" s="96"/>
      <c r="N25" s="116"/>
      <c r="O25" s="92" t="s">
        <v>529</v>
      </c>
    </row>
    <row r="26" spans="2:15" x14ac:dyDescent="0.25">
      <c r="B26" s="103" t="str">
        <f t="shared" si="0"/>
        <v>03_Frais fonct.\2_Documentation\3_Presse</v>
      </c>
      <c r="C26" s="96"/>
      <c r="D26" s="100" t="s">
        <v>515</v>
      </c>
      <c r="E26" s="1" t="s">
        <v>503</v>
      </c>
      <c r="F26" s="1" t="s">
        <v>507</v>
      </c>
      <c r="G26" s="87"/>
      <c r="H26" s="96"/>
      <c r="I26" s="100" t="s">
        <v>513</v>
      </c>
      <c r="J26" s="1" t="s">
        <v>558</v>
      </c>
      <c r="K26" s="1" t="s">
        <v>565</v>
      </c>
      <c r="L26" s="87"/>
      <c r="M26" s="96"/>
      <c r="N26" s="116"/>
      <c r="O26" s="92" t="s">
        <v>530</v>
      </c>
    </row>
    <row r="27" spans="2:15" x14ac:dyDescent="0.25">
      <c r="B27" s="103" t="str">
        <f t="shared" si="0"/>
        <v>03_Frais fonct.\3_Formations</v>
      </c>
      <c r="C27" s="96"/>
      <c r="D27" s="100" t="s">
        <v>515</v>
      </c>
      <c r="E27" s="1" t="s">
        <v>506</v>
      </c>
      <c r="F27" s="1"/>
      <c r="G27" s="87"/>
      <c r="H27" s="96"/>
      <c r="I27" s="100" t="s">
        <v>513</v>
      </c>
      <c r="J27" s="1" t="s">
        <v>559</v>
      </c>
      <c r="K27" s="1"/>
      <c r="L27" s="87"/>
      <c r="M27" s="96"/>
      <c r="N27" s="116"/>
      <c r="O27" s="92" t="s">
        <v>527</v>
      </c>
    </row>
    <row r="28" spans="2:15" ht="15.75" thickBot="1" x14ac:dyDescent="0.3">
      <c r="B28" s="106" t="str">
        <f t="shared" si="0"/>
        <v>03_Frais fonct.\4_Matériel</v>
      </c>
      <c r="C28" s="98"/>
      <c r="D28" s="102" t="s">
        <v>515</v>
      </c>
      <c r="E28" s="84" t="s">
        <v>508</v>
      </c>
      <c r="F28" s="84"/>
      <c r="G28" s="89"/>
      <c r="H28" s="98"/>
      <c r="I28" s="102" t="s">
        <v>513</v>
      </c>
      <c r="J28" s="84" t="s">
        <v>560</v>
      </c>
      <c r="K28" s="84"/>
      <c r="L28" s="89"/>
      <c r="M28" s="98"/>
      <c r="N28" s="118"/>
      <c r="O28" s="94" t="s">
        <v>526</v>
      </c>
    </row>
  </sheetData>
  <mergeCells count="2">
    <mergeCell ref="D4:G4"/>
    <mergeCell ref="I4:L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A595-2C99-4625-97B4-61768C819C88}">
  <sheetPr codeName="Feuil7">
    <tabColor rgb="FFFFC000"/>
  </sheetPr>
  <dimension ref="B1:T41"/>
  <sheetViews>
    <sheetView topLeftCell="C1" zoomScale="120" zoomScaleNormal="120" workbookViewId="0">
      <selection activeCell="Q26" sqref="P26:Q26"/>
    </sheetView>
  </sheetViews>
  <sheetFormatPr baseColWidth="10" defaultRowHeight="15" x14ac:dyDescent="0.25"/>
  <cols>
    <col min="1" max="1" width="1.85546875" customWidth="1"/>
    <col min="2" max="2" width="17.42578125" bestFit="1" customWidth="1"/>
    <col min="3" max="3" width="44.140625" bestFit="1" customWidth="1"/>
    <col min="4" max="4" width="12.42578125" customWidth="1"/>
    <col min="5" max="5" width="14.140625" customWidth="1"/>
    <col min="6" max="7" width="12.7109375" bestFit="1" customWidth="1"/>
    <col min="8" max="8" width="13.7109375" bestFit="1" customWidth="1"/>
    <col min="9" max="9" width="0.7109375" customWidth="1"/>
    <col min="10" max="10" width="1.140625" customWidth="1"/>
    <col min="11" max="11" width="18.140625" bestFit="1" customWidth="1"/>
    <col min="12" max="12" width="27.7109375" bestFit="1" customWidth="1"/>
    <col min="13" max="13" width="13.85546875" bestFit="1" customWidth="1"/>
    <col min="14" max="14" width="12.5703125" bestFit="1" customWidth="1"/>
    <col min="15" max="15" width="14.28515625" customWidth="1"/>
    <col min="16" max="16" width="30.7109375" bestFit="1" customWidth="1"/>
    <col min="17" max="17" width="12.5703125" bestFit="1" customWidth="1"/>
    <col min="18" max="18" width="13.85546875" bestFit="1" customWidth="1"/>
  </cols>
  <sheetData>
    <row r="1" spans="2:20" ht="15.75" thickBot="1" x14ac:dyDescent="0.3"/>
    <row r="2" spans="2:20" ht="24" thickBot="1" x14ac:dyDescent="0.4">
      <c r="B2" s="443" t="s">
        <v>676</v>
      </c>
      <c r="C2" s="444"/>
    </row>
    <row r="3" spans="2:20" ht="19.5" thickBot="1" x14ac:dyDescent="0.35">
      <c r="B3" s="159"/>
      <c r="C3" s="159"/>
    </row>
    <row r="4" spans="2:20" ht="19.5" thickBot="1" x14ac:dyDescent="0.35">
      <c r="D4" s="140" t="s">
        <v>680</v>
      </c>
      <c r="E4" s="132" t="s">
        <v>679</v>
      </c>
      <c r="F4" s="144" t="s">
        <v>677</v>
      </c>
      <c r="G4" s="132" t="s">
        <v>681</v>
      </c>
      <c r="H4" s="155" t="s">
        <v>682</v>
      </c>
      <c r="K4" s="448" t="s">
        <v>689</v>
      </c>
      <c r="L4" s="449"/>
      <c r="M4" s="450"/>
    </row>
    <row r="5" spans="2:20" ht="15" customHeight="1" x14ac:dyDescent="0.25">
      <c r="B5" s="445" t="s">
        <v>707</v>
      </c>
      <c r="C5" s="160" t="s">
        <v>685</v>
      </c>
      <c r="D5" s="141">
        <v>3000</v>
      </c>
      <c r="E5" s="136">
        <f>D5*3</f>
        <v>9000</v>
      </c>
      <c r="F5" s="146">
        <f>D5*6</f>
        <v>18000</v>
      </c>
      <c r="G5" s="153">
        <f>D5*9</f>
        <v>27000</v>
      </c>
      <c r="H5" s="148">
        <f>D5*12</f>
        <v>36000</v>
      </c>
      <c r="I5" s="133"/>
      <c r="K5" s="1" t="s">
        <v>471</v>
      </c>
      <c r="L5" s="1"/>
      <c r="M5" s="162">
        <v>-9899.880000000001</v>
      </c>
      <c r="R5" s="181" t="s">
        <v>693</v>
      </c>
      <c r="S5" s="182" t="s">
        <v>694</v>
      </c>
      <c r="T5" s="183" t="s">
        <v>695</v>
      </c>
    </row>
    <row r="6" spans="2:20" ht="15" customHeight="1" x14ac:dyDescent="0.25">
      <c r="B6" s="446"/>
      <c r="C6" s="152" t="s">
        <v>686</v>
      </c>
      <c r="D6" s="141">
        <v>1200</v>
      </c>
      <c r="E6" s="136">
        <f t="shared" ref="E6:E11" si="0">D6*3</f>
        <v>3600</v>
      </c>
      <c r="F6" s="146">
        <f t="shared" ref="F6:F11" si="1">D6*6</f>
        <v>7200</v>
      </c>
      <c r="G6" s="153">
        <f t="shared" ref="G6:G11" si="2">D6*9</f>
        <v>10800</v>
      </c>
      <c r="H6" s="148">
        <f t="shared" ref="H6:H11" si="3">D6*12</f>
        <v>14400</v>
      </c>
      <c r="I6" s="133"/>
      <c r="K6" s="1" t="s">
        <v>466</v>
      </c>
      <c r="L6" s="1" t="s">
        <v>690</v>
      </c>
      <c r="M6" s="163">
        <v>-5159.5899999999983</v>
      </c>
      <c r="R6" s="184">
        <v>-1170.6799999999998</v>
      </c>
      <c r="S6" s="185"/>
      <c r="T6" s="186">
        <v>-100</v>
      </c>
    </row>
    <row r="7" spans="2:20" ht="15" customHeight="1" x14ac:dyDescent="0.25">
      <c r="B7" s="446"/>
      <c r="C7" s="152" t="s">
        <v>687</v>
      </c>
      <c r="D7" s="141">
        <v>200</v>
      </c>
      <c r="E7" s="136">
        <f t="shared" si="0"/>
        <v>600</v>
      </c>
      <c r="F7" s="146">
        <f t="shared" si="1"/>
        <v>1200</v>
      </c>
      <c r="G7" s="153">
        <f t="shared" si="2"/>
        <v>1800</v>
      </c>
      <c r="H7" s="148">
        <f t="shared" si="3"/>
        <v>2400</v>
      </c>
      <c r="I7" s="133"/>
      <c r="K7" s="1" t="s">
        <v>691</v>
      </c>
      <c r="L7" s="1" t="s">
        <v>692</v>
      </c>
      <c r="M7" s="163">
        <v>-80000</v>
      </c>
    </row>
    <row r="8" spans="2:20" ht="15" customHeight="1" x14ac:dyDescent="0.25">
      <c r="B8" s="446"/>
      <c r="C8" s="193" t="s">
        <v>688</v>
      </c>
      <c r="D8" s="141">
        <v>150</v>
      </c>
      <c r="E8" s="136">
        <f t="shared" si="0"/>
        <v>450</v>
      </c>
      <c r="F8" s="146">
        <f t="shared" si="1"/>
        <v>900</v>
      </c>
      <c r="G8" s="153">
        <f t="shared" si="2"/>
        <v>1350</v>
      </c>
      <c r="H8" s="148">
        <f t="shared" si="3"/>
        <v>1800</v>
      </c>
      <c r="I8" s="133"/>
      <c r="K8" s="1" t="s">
        <v>696</v>
      </c>
      <c r="L8" s="1" t="s">
        <v>697</v>
      </c>
      <c r="M8" s="163">
        <f>SUM(R6:T6)</f>
        <v>-1270.6799999999998</v>
      </c>
    </row>
    <row r="9" spans="2:20" ht="15.75" customHeight="1" thickBot="1" x14ac:dyDescent="0.3">
      <c r="B9" s="447"/>
      <c r="C9" s="106"/>
      <c r="D9" s="142"/>
      <c r="E9" s="149">
        <f t="shared" si="0"/>
        <v>0</v>
      </c>
      <c r="F9" s="150">
        <f t="shared" si="1"/>
        <v>0</v>
      </c>
      <c r="G9" s="154">
        <f t="shared" si="2"/>
        <v>0</v>
      </c>
      <c r="H9" s="151">
        <f t="shared" si="3"/>
        <v>0</v>
      </c>
      <c r="I9" s="133"/>
      <c r="K9" s="1" t="s">
        <v>467</v>
      </c>
      <c r="L9" s="1" t="s">
        <v>698</v>
      </c>
      <c r="M9" s="163">
        <v>8730.7099999999991</v>
      </c>
    </row>
    <row r="10" spans="2:20" ht="17.25" x14ac:dyDescent="0.25">
      <c r="C10" s="134" t="s">
        <v>683</v>
      </c>
      <c r="D10" s="143">
        <v>4550</v>
      </c>
      <c r="E10" s="137">
        <f t="shared" si="0"/>
        <v>13650</v>
      </c>
      <c r="F10" s="145">
        <f t="shared" si="1"/>
        <v>27300</v>
      </c>
      <c r="G10" s="137">
        <f t="shared" si="2"/>
        <v>40950</v>
      </c>
      <c r="H10" s="147">
        <f t="shared" si="3"/>
        <v>54600</v>
      </c>
      <c r="I10" s="133"/>
      <c r="K10" s="1" t="s">
        <v>699</v>
      </c>
      <c r="L10" s="1"/>
      <c r="M10" s="163">
        <v>-614.6</v>
      </c>
    </row>
    <row r="11" spans="2:20" ht="15.75" thickBot="1" x14ac:dyDescent="0.3">
      <c r="C11" s="135" t="s">
        <v>684</v>
      </c>
      <c r="D11" s="141">
        <f>(D10*15)/100</f>
        <v>682.5</v>
      </c>
      <c r="E11" s="138">
        <f t="shared" si="0"/>
        <v>2047.5</v>
      </c>
      <c r="F11" s="146">
        <f t="shared" si="1"/>
        <v>4095</v>
      </c>
      <c r="G11" s="138">
        <f t="shared" si="2"/>
        <v>6142.5</v>
      </c>
      <c r="H11" s="148">
        <f t="shared" si="3"/>
        <v>8190</v>
      </c>
      <c r="I11" s="133"/>
    </row>
    <row r="12" spans="2:20" ht="19.5" thickBot="1" x14ac:dyDescent="0.3">
      <c r="C12" s="131" t="s">
        <v>678</v>
      </c>
      <c r="D12" s="156">
        <f>SUM(D10:D11)</f>
        <v>5232.5</v>
      </c>
      <c r="E12" s="139">
        <f>SUM(E10:E11)</f>
        <v>15697.5</v>
      </c>
      <c r="F12" s="157">
        <f t="shared" ref="F12:H12" si="4">SUM(F10:F11)</f>
        <v>31395</v>
      </c>
      <c r="G12" s="139">
        <f t="shared" si="4"/>
        <v>47092.5</v>
      </c>
      <c r="H12" s="158">
        <f t="shared" si="4"/>
        <v>62790</v>
      </c>
      <c r="I12" s="133"/>
    </row>
    <row r="13" spans="2:20" ht="15.75" thickBot="1" x14ac:dyDescent="0.3">
      <c r="D13" s="133"/>
      <c r="E13" s="133"/>
      <c r="F13" s="133"/>
      <c r="G13" s="133"/>
      <c r="H13" s="133"/>
      <c r="I13" s="133"/>
      <c r="L13" s="164" t="s">
        <v>678</v>
      </c>
      <c r="M13" s="165">
        <f>SUM(M5:M10)</f>
        <v>-88214.040000000008</v>
      </c>
      <c r="N13" s="166" t="s">
        <v>700</v>
      </c>
    </row>
    <row r="14" spans="2:20" x14ac:dyDescent="0.25">
      <c r="D14" s="133"/>
      <c r="E14" s="133"/>
      <c r="F14" s="133"/>
      <c r="G14" s="133"/>
      <c r="H14" s="133"/>
      <c r="I14" s="133"/>
      <c r="M14" s="167">
        <f>M13/2</f>
        <v>-44107.020000000004</v>
      </c>
      <c r="N14" s="168" t="s">
        <v>701</v>
      </c>
    </row>
    <row r="15" spans="2:20" ht="15.75" thickBot="1" x14ac:dyDescent="0.3">
      <c r="M15" s="167">
        <f>M13/4</f>
        <v>-22053.510000000002</v>
      </c>
      <c r="N15" s="168" t="s">
        <v>702</v>
      </c>
    </row>
    <row r="16" spans="2:20" ht="15.75" thickBot="1" x14ac:dyDescent="0.3">
      <c r="C16" s="127"/>
      <c r="M16" s="169">
        <f>M13/12</f>
        <v>-7351.170000000001</v>
      </c>
      <c r="N16" s="166" t="s">
        <v>703</v>
      </c>
    </row>
    <row r="17" spans="11:17" ht="5.25" customHeight="1" thickBot="1" x14ac:dyDescent="0.3"/>
    <row r="18" spans="11:17" ht="18.75" x14ac:dyDescent="0.3">
      <c r="K18" s="451" t="s">
        <v>704</v>
      </c>
      <c r="L18" s="452"/>
      <c r="M18" s="453"/>
    </row>
    <row r="19" spans="11:17" x14ac:dyDescent="0.25">
      <c r="K19" s="1" t="s">
        <v>472</v>
      </c>
      <c r="L19" s="1"/>
      <c r="M19" s="170">
        <v>-700</v>
      </c>
    </row>
    <row r="20" spans="11:17" x14ac:dyDescent="0.25">
      <c r="K20" s="1" t="s">
        <v>474</v>
      </c>
      <c r="L20" s="1"/>
      <c r="M20" s="170">
        <v>-700</v>
      </c>
    </row>
    <row r="21" spans="11:17" x14ac:dyDescent="0.25">
      <c r="K21" s="1" t="s">
        <v>458</v>
      </c>
      <c r="L21" s="1"/>
      <c r="M21" s="170">
        <v>-1000</v>
      </c>
    </row>
    <row r="22" spans="11:17" x14ac:dyDescent="0.25">
      <c r="K22" s="1" t="s">
        <v>705</v>
      </c>
      <c r="L22" s="1"/>
      <c r="M22" s="170">
        <v>-3700</v>
      </c>
    </row>
    <row r="23" spans="11:17" x14ac:dyDescent="0.25">
      <c r="K23" s="1" t="s">
        <v>706</v>
      </c>
      <c r="L23" s="1"/>
      <c r="M23" s="170">
        <v>-8000</v>
      </c>
    </row>
    <row r="24" spans="11:17" ht="4.5" customHeight="1" thickBot="1" x14ac:dyDescent="0.3"/>
    <row r="25" spans="11:17" ht="15.75" thickBot="1" x14ac:dyDescent="0.3">
      <c r="M25" s="171">
        <f>SUM(M19:M23)</f>
        <v>-14100</v>
      </c>
    </row>
    <row r="26" spans="11:17" ht="15.75" thickBot="1" x14ac:dyDescent="0.3">
      <c r="P26" s="241" t="s">
        <v>709</v>
      </c>
      <c r="Q26" s="242">
        <v>0.1</v>
      </c>
    </row>
    <row r="27" spans="11:17" ht="15.75" thickBot="1" x14ac:dyDescent="0.3">
      <c r="L27" s="172" t="s">
        <v>678</v>
      </c>
      <c r="M27" s="173">
        <f>SUM(M13,M25)</f>
        <v>-102314.04000000001</v>
      </c>
      <c r="N27" s="174" t="s">
        <v>700</v>
      </c>
      <c r="O27" s="194"/>
      <c r="P27" s="175">
        <f>P30*12</f>
        <v>-112545.444</v>
      </c>
      <c r="Q27" s="174" t="s">
        <v>700</v>
      </c>
    </row>
    <row r="28" spans="11:17" x14ac:dyDescent="0.25">
      <c r="M28" s="176">
        <f>M27/2</f>
        <v>-51157.020000000004</v>
      </c>
      <c r="N28" s="27" t="s">
        <v>701</v>
      </c>
      <c r="O28" s="194" t="s">
        <v>708</v>
      </c>
      <c r="P28" s="177">
        <f>P30*6</f>
        <v>-56272.722000000002</v>
      </c>
      <c r="Q28" s="27" t="s">
        <v>701</v>
      </c>
    </row>
    <row r="29" spans="11:17" x14ac:dyDescent="0.25">
      <c r="M29" s="176">
        <f>M27/4</f>
        <v>-25578.510000000002</v>
      </c>
      <c r="N29" s="27" t="s">
        <v>702</v>
      </c>
      <c r="O29" s="194" t="s">
        <v>708</v>
      </c>
      <c r="P29" s="177">
        <f>P30*3</f>
        <v>-28136.361000000001</v>
      </c>
      <c r="Q29" s="27" t="s">
        <v>702</v>
      </c>
    </row>
    <row r="30" spans="11:17" x14ac:dyDescent="0.25">
      <c r="M30" s="178">
        <f>M27/12</f>
        <v>-8526.17</v>
      </c>
      <c r="N30" s="179" t="s">
        <v>703</v>
      </c>
      <c r="O30" s="194" t="s">
        <v>708</v>
      </c>
      <c r="P30" s="180">
        <f>M30+(Q26*M30)</f>
        <v>-9378.7870000000003</v>
      </c>
      <c r="Q30" s="179" t="s">
        <v>703</v>
      </c>
    </row>
    <row r="37" spans="18:19" ht="15.75" thickBot="1" x14ac:dyDescent="0.3"/>
    <row r="38" spans="18:19" ht="15.75" thickBot="1" x14ac:dyDescent="0.3">
      <c r="R38" s="175">
        <f>R41*12</f>
        <v>114000</v>
      </c>
      <c r="S38" s="174" t="s">
        <v>700</v>
      </c>
    </row>
    <row r="39" spans="18:19" x14ac:dyDescent="0.25">
      <c r="R39" s="177">
        <f>R41*6</f>
        <v>57000</v>
      </c>
      <c r="S39" s="27" t="s">
        <v>701</v>
      </c>
    </row>
    <row r="40" spans="18:19" x14ac:dyDescent="0.25">
      <c r="R40" s="177">
        <f>R41*3</f>
        <v>28500</v>
      </c>
      <c r="S40" s="27" t="s">
        <v>702</v>
      </c>
    </row>
    <row r="41" spans="18:19" x14ac:dyDescent="0.25">
      <c r="R41" s="180">
        <v>9500</v>
      </c>
      <c r="S41" s="179" t="s">
        <v>703</v>
      </c>
    </row>
  </sheetData>
  <mergeCells count="4">
    <mergeCell ref="B2:C2"/>
    <mergeCell ref="B5:B9"/>
    <mergeCell ref="K4:M4"/>
    <mergeCell ref="K18:M18"/>
  </mergeCells>
  <conditionalFormatting sqref="R5">
    <cfRule type="beginsWith" dxfId="3" priority="1" operator="beginsWith" text="R-">
      <formula>LEFT(R5,LEN("R-"))="R-"</formula>
    </cfRule>
    <cfRule type="beginsWith" dxfId="2" priority="2" operator="beginsWith" text="D-">
      <formula>LEFT(R5,LEN("D-"))="D-"</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129C-A7EE-4FF8-88CE-A0FDEECB08E6}">
  <sheetPr codeName="Feuil8">
    <tabColor theme="5"/>
  </sheetPr>
  <dimension ref="B2:AB19"/>
  <sheetViews>
    <sheetView workbookViewId="0">
      <selection activeCell="E24" sqref="E24"/>
    </sheetView>
  </sheetViews>
  <sheetFormatPr baseColWidth="10" defaultRowHeight="15" x14ac:dyDescent="0.25"/>
  <cols>
    <col min="1" max="1" width="1" customWidth="1"/>
    <col min="2" max="2" width="7.28515625" bestFit="1" customWidth="1"/>
    <col min="3" max="3" width="12.140625" customWidth="1"/>
    <col min="4" max="8" width="12" bestFit="1" customWidth="1"/>
    <col min="9" max="9" width="11" bestFit="1" customWidth="1"/>
    <col min="11" max="11" width="9.5703125" bestFit="1" customWidth="1"/>
    <col min="12" max="12" width="12" bestFit="1" customWidth="1"/>
    <col min="13" max="13" width="11" bestFit="1" customWidth="1"/>
    <col min="14" max="14" width="13.28515625" bestFit="1" customWidth="1"/>
    <col min="15" max="15" width="14" customWidth="1"/>
    <col min="16" max="16" width="14.42578125" bestFit="1" customWidth="1"/>
    <col min="17" max="17" width="15.7109375" bestFit="1" customWidth="1"/>
    <col min="18" max="18" width="16.42578125" bestFit="1" customWidth="1"/>
    <col min="19" max="19" width="10.85546875" bestFit="1" customWidth="1"/>
    <col min="20" max="20" width="12" bestFit="1" customWidth="1"/>
    <col min="21" max="21" width="13.140625" bestFit="1" customWidth="1"/>
    <col min="22" max="22" width="1.28515625" customWidth="1"/>
    <col min="23" max="23" width="12.7109375" bestFit="1" customWidth="1"/>
    <col min="24" max="24" width="8.85546875" bestFit="1" customWidth="1"/>
    <col min="25" max="25" width="13.28515625" bestFit="1" customWidth="1"/>
    <col min="26" max="26" width="8.7109375" bestFit="1" customWidth="1"/>
    <col min="27" max="27" width="16.42578125" bestFit="1" customWidth="1"/>
    <col min="28" max="28" width="18.28515625" bestFit="1" customWidth="1"/>
  </cols>
  <sheetData>
    <row r="2" spans="2:28" ht="15.75" thickBot="1" x14ac:dyDescent="0.3"/>
    <row r="3" spans="2:28" ht="19.5" customHeight="1" thickBot="1" x14ac:dyDescent="0.35">
      <c r="B3" s="454" t="s">
        <v>717</v>
      </c>
      <c r="C3" s="460" t="s">
        <v>728</v>
      </c>
      <c r="D3" s="461"/>
      <c r="E3" s="461"/>
      <c r="F3" s="461"/>
      <c r="G3" s="461"/>
      <c r="H3" s="461"/>
      <c r="I3" s="461"/>
      <c r="J3" s="462"/>
      <c r="K3" s="234" t="s">
        <v>718</v>
      </c>
      <c r="L3" s="469" t="s">
        <v>689</v>
      </c>
      <c r="M3" s="469"/>
      <c r="N3" s="469"/>
      <c r="O3" s="469"/>
      <c r="P3" s="469"/>
      <c r="Q3" s="469"/>
      <c r="R3" s="469"/>
      <c r="S3" s="469"/>
      <c r="T3" s="469"/>
      <c r="U3" s="450"/>
      <c r="V3" s="235"/>
      <c r="W3" s="471" t="s">
        <v>704</v>
      </c>
      <c r="X3" s="472"/>
      <c r="Y3" s="472"/>
      <c r="Z3" s="472"/>
      <c r="AA3" s="472"/>
      <c r="AB3" s="473"/>
    </row>
    <row r="4" spans="2:28" ht="24.75" customHeight="1" thickBot="1" x14ac:dyDescent="0.3">
      <c r="B4" s="455"/>
      <c r="C4" s="463"/>
      <c r="D4" s="464"/>
      <c r="E4" s="464"/>
      <c r="F4" s="464"/>
      <c r="G4" s="464"/>
      <c r="H4" s="464"/>
      <c r="I4" s="464"/>
      <c r="J4" s="465"/>
      <c r="K4" s="458" t="s">
        <v>160</v>
      </c>
      <c r="L4" s="466" t="s">
        <v>710</v>
      </c>
      <c r="M4" s="466"/>
      <c r="N4" s="466"/>
      <c r="O4" s="467"/>
      <c r="P4" s="456" t="s">
        <v>716</v>
      </c>
      <c r="Q4" s="470"/>
      <c r="R4" s="457"/>
      <c r="S4" s="468" t="s">
        <v>712</v>
      </c>
      <c r="T4" s="466"/>
      <c r="U4" s="467"/>
      <c r="V4" s="236"/>
      <c r="W4" s="456" t="s">
        <v>710</v>
      </c>
      <c r="X4" s="457"/>
      <c r="Y4" s="456" t="s">
        <v>712</v>
      </c>
      <c r="Z4" s="457"/>
      <c r="AA4" s="456" t="s">
        <v>716</v>
      </c>
      <c r="AB4" s="457"/>
    </row>
    <row r="5" spans="2:28" ht="15.75" customHeight="1" thickBot="1" x14ac:dyDescent="0.3">
      <c r="B5" s="455"/>
      <c r="C5" s="197" t="s">
        <v>729</v>
      </c>
      <c r="D5" s="198" t="s">
        <v>730</v>
      </c>
      <c r="E5" s="197" t="s">
        <v>729</v>
      </c>
      <c r="F5" s="198" t="s">
        <v>730</v>
      </c>
      <c r="G5" s="197" t="s">
        <v>729</v>
      </c>
      <c r="H5" s="198" t="s">
        <v>730</v>
      </c>
      <c r="I5" s="197" t="s">
        <v>729</v>
      </c>
      <c r="J5" s="199" t="s">
        <v>730</v>
      </c>
      <c r="K5" s="459"/>
      <c r="L5" s="206" t="s">
        <v>471</v>
      </c>
      <c r="M5" s="200" t="s">
        <v>466</v>
      </c>
      <c r="N5" s="207" t="s">
        <v>463</v>
      </c>
      <c r="O5" s="200" t="s">
        <v>711</v>
      </c>
      <c r="P5" s="207" t="s">
        <v>699</v>
      </c>
      <c r="Q5" s="200" t="s">
        <v>470</v>
      </c>
      <c r="R5" s="208" t="s">
        <v>467</v>
      </c>
      <c r="S5" s="200" t="s">
        <v>713</v>
      </c>
      <c r="T5" s="207" t="s">
        <v>714</v>
      </c>
      <c r="U5" s="200" t="s">
        <v>715</v>
      </c>
      <c r="V5" s="237"/>
      <c r="W5" s="474" t="s">
        <v>725</v>
      </c>
      <c r="X5" s="474" t="s">
        <v>458</v>
      </c>
      <c r="Y5" s="474" t="s">
        <v>706</v>
      </c>
      <c r="Z5" s="474" t="s">
        <v>474</v>
      </c>
      <c r="AA5" s="476" t="s">
        <v>467</v>
      </c>
      <c r="AB5" s="474" t="s">
        <v>472</v>
      </c>
    </row>
    <row r="6" spans="2:28" ht="15" customHeight="1" thickBot="1" x14ac:dyDescent="0.3">
      <c r="B6" s="455"/>
      <c r="C6" s="205">
        <v>12</v>
      </c>
      <c r="D6" s="220">
        <v>12</v>
      </c>
      <c r="E6" s="205">
        <v>6</v>
      </c>
      <c r="F6" s="220">
        <v>6</v>
      </c>
      <c r="G6" s="205">
        <v>3</v>
      </c>
      <c r="H6" s="243">
        <v>3</v>
      </c>
      <c r="I6" s="205">
        <v>1</v>
      </c>
      <c r="J6" s="219">
        <v>1</v>
      </c>
      <c r="K6" s="244" t="s">
        <v>719</v>
      </c>
      <c r="L6" s="245" t="s">
        <v>724</v>
      </c>
      <c r="M6" s="245" t="s">
        <v>690</v>
      </c>
      <c r="N6" s="245" t="s">
        <v>296</v>
      </c>
      <c r="O6" s="245" t="s">
        <v>693</v>
      </c>
      <c r="P6" s="245" t="s">
        <v>720</v>
      </c>
      <c r="Q6" s="245" t="s">
        <v>721</v>
      </c>
      <c r="R6" s="245" t="s">
        <v>723</v>
      </c>
      <c r="S6" s="245" t="s">
        <v>726</v>
      </c>
      <c r="T6" s="245" t="s">
        <v>727</v>
      </c>
      <c r="U6" s="246" t="s">
        <v>722</v>
      </c>
      <c r="V6" s="247"/>
      <c r="W6" s="475"/>
      <c r="X6" s="475"/>
      <c r="Y6" s="475"/>
      <c r="Z6" s="475"/>
      <c r="AA6" s="477"/>
      <c r="AB6" s="475"/>
    </row>
    <row r="7" spans="2:28" x14ac:dyDescent="0.25">
      <c r="B7" s="239">
        <v>2018</v>
      </c>
      <c r="C7" s="223">
        <f>SUM(L7:U7)</f>
        <v>20.8</v>
      </c>
      <c r="D7" s="231">
        <f>C7+SUM(W7:AB7)</f>
        <v>20.8</v>
      </c>
      <c r="E7" s="226">
        <f>C7/2</f>
        <v>10.4</v>
      </c>
      <c r="F7" s="231">
        <f>D7/2</f>
        <v>10.4</v>
      </c>
      <c r="G7" s="229">
        <f>C7/4</f>
        <v>5.2</v>
      </c>
      <c r="H7" s="231">
        <f>D7/4</f>
        <v>5.2</v>
      </c>
      <c r="I7" s="223">
        <f>C7/12</f>
        <v>1.7333333333333334</v>
      </c>
      <c r="J7" s="231">
        <f>D7/12</f>
        <v>1.7333333333333334</v>
      </c>
      <c r="K7" s="253"/>
      <c r="L7" s="259"/>
      <c r="M7" s="260"/>
      <c r="N7" s="260"/>
      <c r="O7" s="261"/>
      <c r="P7" s="211">
        <v>20.8</v>
      </c>
      <c r="Q7" s="212"/>
      <c r="R7" s="261"/>
      <c r="S7" s="259"/>
      <c r="T7" s="260"/>
      <c r="U7" s="261"/>
      <c r="V7" s="254"/>
      <c r="W7" s="259"/>
      <c r="X7" s="261"/>
      <c r="Y7" s="211"/>
      <c r="Z7" s="213"/>
      <c r="AA7" s="211"/>
      <c r="AB7" s="213"/>
    </row>
    <row r="8" spans="2:28" x14ac:dyDescent="0.25">
      <c r="B8" s="240">
        <v>2019</v>
      </c>
      <c r="C8" s="224">
        <f t="shared" ref="C8:C19" si="0">SUM(L8:U8)</f>
        <v>35.75</v>
      </c>
      <c r="D8" s="232">
        <f t="shared" ref="D8:D19" si="1">C8+SUM(W8:AB8)</f>
        <v>35.75</v>
      </c>
      <c r="E8" s="227">
        <f t="shared" ref="E8:F19" si="2">C8/2</f>
        <v>17.875</v>
      </c>
      <c r="F8" s="232">
        <f t="shared" si="2"/>
        <v>17.875</v>
      </c>
      <c r="G8" s="141">
        <f t="shared" ref="G8:H19" si="3">C8/4</f>
        <v>8.9375</v>
      </c>
      <c r="H8" s="232">
        <f t="shared" si="3"/>
        <v>8.9375</v>
      </c>
      <c r="I8" s="224">
        <f t="shared" ref="I8:I19" si="4">C8/12</f>
        <v>2.9791666666666665</v>
      </c>
      <c r="J8" s="232">
        <f t="shared" ref="J8:J19" si="5">D8/12</f>
        <v>2.9791666666666665</v>
      </c>
      <c r="K8" s="210"/>
      <c r="L8" s="262"/>
      <c r="M8" s="263"/>
      <c r="N8" s="263"/>
      <c r="O8" s="264"/>
      <c r="P8" s="214">
        <v>35.75</v>
      </c>
      <c r="Q8" s="202"/>
      <c r="R8" s="264"/>
      <c r="S8" s="262"/>
      <c r="T8" s="263"/>
      <c r="U8" s="264"/>
      <c r="V8" s="237"/>
      <c r="W8" s="262"/>
      <c r="X8" s="264"/>
      <c r="Y8" s="214"/>
      <c r="Z8" s="215"/>
      <c r="AA8" s="214"/>
      <c r="AB8" s="215"/>
    </row>
    <row r="9" spans="2:28" x14ac:dyDescent="0.25">
      <c r="B9" s="240">
        <v>2020</v>
      </c>
      <c r="C9" s="224">
        <f>SUM(L9:U9)</f>
        <v>47.4</v>
      </c>
      <c r="D9" s="232">
        <f t="shared" si="1"/>
        <v>47.4</v>
      </c>
      <c r="E9" s="227">
        <f t="shared" si="2"/>
        <v>23.7</v>
      </c>
      <c r="F9" s="232">
        <f t="shared" si="2"/>
        <v>23.7</v>
      </c>
      <c r="G9" s="141">
        <f t="shared" si="3"/>
        <v>11.85</v>
      </c>
      <c r="H9" s="232">
        <f t="shared" si="3"/>
        <v>11.85</v>
      </c>
      <c r="I9" s="224">
        <f t="shared" si="4"/>
        <v>3.9499999999999997</v>
      </c>
      <c r="J9" s="232">
        <f t="shared" si="5"/>
        <v>3.9499999999999997</v>
      </c>
      <c r="K9" s="210"/>
      <c r="L9" s="262"/>
      <c r="M9" s="263"/>
      <c r="N9" s="263"/>
      <c r="O9" s="264"/>
      <c r="P9" s="214">
        <v>47.4</v>
      </c>
      <c r="Q9" s="202"/>
      <c r="R9" s="264"/>
      <c r="S9" s="262"/>
      <c r="T9" s="263"/>
      <c r="U9" s="264"/>
      <c r="V9" s="237"/>
      <c r="W9" s="262"/>
      <c r="X9" s="264"/>
      <c r="Y9" s="214"/>
      <c r="Z9" s="215"/>
      <c r="AA9" s="214"/>
      <c r="AB9" s="215"/>
    </row>
    <row r="10" spans="2:28" ht="15.75" thickBot="1" x14ac:dyDescent="0.3">
      <c r="B10" s="255">
        <v>2021</v>
      </c>
      <c r="C10" s="225">
        <f t="shared" si="0"/>
        <v>2220.23</v>
      </c>
      <c r="D10" s="233">
        <f t="shared" si="1"/>
        <v>2220.23</v>
      </c>
      <c r="E10" s="228">
        <f t="shared" si="2"/>
        <v>1110.115</v>
      </c>
      <c r="F10" s="233">
        <f t="shared" si="2"/>
        <v>1110.115</v>
      </c>
      <c r="G10" s="230">
        <f t="shared" si="3"/>
        <v>555.0575</v>
      </c>
      <c r="H10" s="233">
        <f t="shared" si="3"/>
        <v>555.0575</v>
      </c>
      <c r="I10" s="225">
        <f t="shared" si="4"/>
        <v>185.01916666666668</v>
      </c>
      <c r="J10" s="233">
        <f t="shared" si="5"/>
        <v>185.01916666666668</v>
      </c>
      <c r="K10" s="256"/>
      <c r="L10" s="265"/>
      <c r="M10" s="266"/>
      <c r="N10" s="266"/>
      <c r="O10" s="267"/>
      <c r="P10" s="216">
        <v>61.35</v>
      </c>
      <c r="Q10" s="217"/>
      <c r="R10" s="218">
        <v>2158.88</v>
      </c>
      <c r="S10" s="265"/>
      <c r="T10" s="266"/>
      <c r="U10" s="267"/>
      <c r="V10" s="238"/>
      <c r="W10" s="265"/>
      <c r="X10" s="267"/>
      <c r="Y10" s="216"/>
      <c r="Z10" s="218"/>
      <c r="AA10" s="216"/>
      <c r="AB10" s="218"/>
    </row>
    <row r="11" spans="2:28" x14ac:dyDescent="0.25">
      <c r="B11" s="239">
        <v>2022</v>
      </c>
      <c r="C11" s="223">
        <f t="shared" si="0"/>
        <v>13620.789999999999</v>
      </c>
      <c r="D11" s="231">
        <f t="shared" si="1"/>
        <v>17485.939999999999</v>
      </c>
      <c r="E11" s="226">
        <f t="shared" si="2"/>
        <v>6810.3949999999995</v>
      </c>
      <c r="F11" s="231">
        <f t="shared" si="2"/>
        <v>8742.9699999999993</v>
      </c>
      <c r="G11" s="229">
        <f t="shared" si="3"/>
        <v>3405.1974999999998</v>
      </c>
      <c r="H11" s="231">
        <f t="shared" si="3"/>
        <v>4371.4849999999997</v>
      </c>
      <c r="I11" s="223">
        <f t="shared" si="4"/>
        <v>1135.0658333333333</v>
      </c>
      <c r="J11" s="231">
        <f t="shared" si="5"/>
        <v>1457.1616666666666</v>
      </c>
      <c r="K11" s="253"/>
      <c r="L11" s="211">
        <v>9702.82</v>
      </c>
      <c r="M11" s="212">
        <v>323.31</v>
      </c>
      <c r="N11" s="258" t="s">
        <v>731</v>
      </c>
      <c r="O11" s="213">
        <v>614.94000000000005</v>
      </c>
      <c r="P11" s="211">
        <v>66.5</v>
      </c>
      <c r="Q11" s="212"/>
      <c r="R11" s="213">
        <v>2913.22</v>
      </c>
      <c r="S11" s="259"/>
      <c r="T11" s="260"/>
      <c r="U11" s="261"/>
      <c r="V11" s="254"/>
      <c r="W11" s="211"/>
      <c r="X11" s="213"/>
      <c r="Y11" s="211">
        <v>3865.15</v>
      </c>
      <c r="Z11" s="213"/>
      <c r="AA11" s="211"/>
      <c r="AB11" s="213"/>
    </row>
    <row r="12" spans="2:28" x14ac:dyDescent="0.25">
      <c r="B12" s="240">
        <v>2023</v>
      </c>
      <c r="C12" s="224">
        <f t="shared" si="0"/>
        <v>92120.2</v>
      </c>
      <c r="D12" s="232">
        <f t="shared" si="1"/>
        <v>98415.14</v>
      </c>
      <c r="E12" s="227">
        <f t="shared" si="2"/>
        <v>46060.1</v>
      </c>
      <c r="F12" s="232">
        <f t="shared" si="2"/>
        <v>49207.57</v>
      </c>
      <c r="G12" s="141">
        <f t="shared" si="3"/>
        <v>23030.05</v>
      </c>
      <c r="H12" s="232">
        <f t="shared" si="3"/>
        <v>24603.785</v>
      </c>
      <c r="I12" s="224">
        <f t="shared" si="4"/>
        <v>7676.6833333333334</v>
      </c>
      <c r="J12" s="232">
        <f t="shared" si="5"/>
        <v>8201.2616666666672</v>
      </c>
      <c r="K12" s="210"/>
      <c r="L12" s="214">
        <v>11103.03</v>
      </c>
      <c r="M12" s="202">
        <v>3676.63</v>
      </c>
      <c r="N12" s="202">
        <v>279.81</v>
      </c>
      <c r="O12" s="215">
        <v>1170.68</v>
      </c>
      <c r="P12" s="214">
        <v>69.66</v>
      </c>
      <c r="Q12" s="202"/>
      <c r="R12" s="215">
        <v>8430.7099999999991</v>
      </c>
      <c r="S12" s="214">
        <v>281.8</v>
      </c>
      <c r="T12" s="202">
        <v>40246.54</v>
      </c>
      <c r="U12" s="215">
        <v>26861.34</v>
      </c>
      <c r="V12" s="237"/>
      <c r="W12" s="214"/>
      <c r="X12" s="215"/>
      <c r="Y12" s="214">
        <v>6294.94</v>
      </c>
      <c r="Z12" s="215"/>
      <c r="AA12" s="214"/>
      <c r="AB12" s="215"/>
    </row>
    <row r="13" spans="2:28" ht="15.75" thickBot="1" x14ac:dyDescent="0.3">
      <c r="B13" s="255">
        <v>2024</v>
      </c>
      <c r="C13" s="225">
        <f t="shared" si="0"/>
        <v>74660.820000000007</v>
      </c>
      <c r="D13" s="233">
        <f t="shared" si="1"/>
        <v>76239</v>
      </c>
      <c r="E13" s="228">
        <f t="shared" si="2"/>
        <v>37330.410000000003</v>
      </c>
      <c r="F13" s="233">
        <f t="shared" si="2"/>
        <v>38119.5</v>
      </c>
      <c r="G13" s="230">
        <f t="shared" si="3"/>
        <v>18665.205000000002</v>
      </c>
      <c r="H13" s="233">
        <f t="shared" si="3"/>
        <v>19059.75</v>
      </c>
      <c r="I13" s="225">
        <f t="shared" si="4"/>
        <v>6221.7350000000006</v>
      </c>
      <c r="J13" s="233">
        <f t="shared" si="5"/>
        <v>6353.25</v>
      </c>
      <c r="K13" s="256"/>
      <c r="L13" s="216">
        <v>11109.39</v>
      </c>
      <c r="M13" s="217">
        <v>2186.4</v>
      </c>
      <c r="N13" s="217">
        <v>299.18</v>
      </c>
      <c r="O13" s="218">
        <v>1288.8</v>
      </c>
      <c r="P13" s="216">
        <v>92.46</v>
      </c>
      <c r="Q13" s="217"/>
      <c r="R13" s="218">
        <v>3973.44</v>
      </c>
      <c r="S13" s="216">
        <v>239.92</v>
      </c>
      <c r="T13" s="217">
        <v>36694.01</v>
      </c>
      <c r="U13" s="218">
        <v>18777.22</v>
      </c>
      <c r="V13" s="238"/>
      <c r="W13" s="216"/>
      <c r="X13" s="218"/>
      <c r="Y13" s="216">
        <v>1578.18</v>
      </c>
      <c r="Z13" s="218"/>
      <c r="AA13" s="216"/>
      <c r="AB13" s="218"/>
    </row>
    <row r="14" spans="2:28" x14ac:dyDescent="0.25">
      <c r="B14" s="257">
        <v>2025</v>
      </c>
      <c r="C14" s="248">
        <f t="shared" si="0"/>
        <v>0</v>
      </c>
      <c r="D14" s="249">
        <f t="shared" si="1"/>
        <v>0</v>
      </c>
      <c r="E14" s="250">
        <f t="shared" si="2"/>
        <v>0</v>
      </c>
      <c r="F14" s="249">
        <f t="shared" si="2"/>
        <v>0</v>
      </c>
      <c r="G14" s="251">
        <f t="shared" si="3"/>
        <v>0</v>
      </c>
      <c r="H14" s="249">
        <f t="shared" si="3"/>
        <v>0</v>
      </c>
      <c r="I14" s="248">
        <f t="shared" si="4"/>
        <v>0</v>
      </c>
      <c r="J14" s="249">
        <f t="shared" si="5"/>
        <v>0</v>
      </c>
      <c r="K14" s="209"/>
      <c r="L14" s="222"/>
      <c r="M14" s="201"/>
      <c r="N14" s="201"/>
      <c r="O14" s="221"/>
      <c r="P14" s="222"/>
      <c r="Q14" s="201"/>
      <c r="R14" s="221"/>
      <c r="S14" s="222"/>
      <c r="T14" s="201"/>
      <c r="U14" s="221"/>
      <c r="V14" s="252"/>
      <c r="W14" s="222"/>
      <c r="X14" s="221"/>
      <c r="Y14" s="222"/>
      <c r="Z14" s="221"/>
      <c r="AA14" s="222"/>
      <c r="AB14" s="221"/>
    </row>
    <row r="15" spans="2:28" x14ac:dyDescent="0.25">
      <c r="B15" s="203">
        <v>2026</v>
      </c>
      <c r="C15" s="224">
        <f t="shared" si="0"/>
        <v>0</v>
      </c>
      <c r="D15" s="232">
        <f t="shared" si="1"/>
        <v>0</v>
      </c>
      <c r="E15" s="227">
        <f t="shared" si="2"/>
        <v>0</v>
      </c>
      <c r="F15" s="232">
        <f t="shared" si="2"/>
        <v>0</v>
      </c>
      <c r="G15" s="141">
        <f t="shared" si="3"/>
        <v>0</v>
      </c>
      <c r="H15" s="232">
        <f t="shared" si="3"/>
        <v>0</v>
      </c>
      <c r="I15" s="224">
        <f t="shared" si="4"/>
        <v>0</v>
      </c>
      <c r="J15" s="232">
        <f t="shared" si="5"/>
        <v>0</v>
      </c>
      <c r="K15" s="210"/>
      <c r="L15" s="214"/>
      <c r="M15" s="202"/>
      <c r="N15" s="202"/>
      <c r="O15" s="215"/>
      <c r="P15" s="214"/>
      <c r="Q15" s="202"/>
      <c r="R15" s="215"/>
      <c r="S15" s="214"/>
      <c r="T15" s="202"/>
      <c r="U15" s="215"/>
      <c r="V15" s="237"/>
      <c r="W15" s="214"/>
      <c r="X15" s="215"/>
      <c r="Y15" s="214"/>
      <c r="Z15" s="215"/>
      <c r="AA15" s="214"/>
      <c r="AB15" s="215"/>
    </row>
    <row r="16" spans="2:28" x14ac:dyDescent="0.25">
      <c r="B16" s="203">
        <v>2027</v>
      </c>
      <c r="C16" s="224">
        <f t="shared" si="0"/>
        <v>0</v>
      </c>
      <c r="D16" s="232">
        <f t="shared" si="1"/>
        <v>0</v>
      </c>
      <c r="E16" s="227">
        <f t="shared" si="2"/>
        <v>0</v>
      </c>
      <c r="F16" s="232">
        <f t="shared" si="2"/>
        <v>0</v>
      </c>
      <c r="G16" s="141">
        <f t="shared" si="3"/>
        <v>0</v>
      </c>
      <c r="H16" s="232">
        <f t="shared" si="3"/>
        <v>0</v>
      </c>
      <c r="I16" s="224">
        <f t="shared" si="4"/>
        <v>0</v>
      </c>
      <c r="J16" s="232">
        <f t="shared" si="5"/>
        <v>0</v>
      </c>
      <c r="K16" s="210"/>
      <c r="L16" s="214"/>
      <c r="M16" s="202"/>
      <c r="N16" s="202"/>
      <c r="O16" s="215"/>
      <c r="P16" s="214"/>
      <c r="Q16" s="202"/>
      <c r="R16" s="215"/>
      <c r="S16" s="214"/>
      <c r="T16" s="202"/>
      <c r="U16" s="215"/>
      <c r="V16" s="237"/>
      <c r="W16" s="214"/>
      <c r="X16" s="215"/>
      <c r="Y16" s="214"/>
      <c r="Z16" s="215"/>
      <c r="AA16" s="214"/>
      <c r="AB16" s="215"/>
    </row>
    <row r="17" spans="2:28" x14ac:dyDescent="0.25">
      <c r="B17" s="203">
        <v>2028</v>
      </c>
      <c r="C17" s="224">
        <f t="shared" si="0"/>
        <v>0</v>
      </c>
      <c r="D17" s="232">
        <f t="shared" si="1"/>
        <v>0</v>
      </c>
      <c r="E17" s="227">
        <f t="shared" si="2"/>
        <v>0</v>
      </c>
      <c r="F17" s="232">
        <f t="shared" si="2"/>
        <v>0</v>
      </c>
      <c r="G17" s="141">
        <f t="shared" si="3"/>
        <v>0</v>
      </c>
      <c r="H17" s="232">
        <f t="shared" si="3"/>
        <v>0</v>
      </c>
      <c r="I17" s="224">
        <f t="shared" si="4"/>
        <v>0</v>
      </c>
      <c r="J17" s="232">
        <f t="shared" si="5"/>
        <v>0</v>
      </c>
      <c r="K17" s="210"/>
      <c r="L17" s="214"/>
      <c r="M17" s="202"/>
      <c r="N17" s="202"/>
      <c r="O17" s="215"/>
      <c r="P17" s="214"/>
      <c r="Q17" s="202"/>
      <c r="R17" s="215"/>
      <c r="S17" s="214"/>
      <c r="T17" s="202"/>
      <c r="U17" s="215"/>
      <c r="V17" s="237"/>
      <c r="W17" s="214"/>
      <c r="X17" s="215"/>
      <c r="Y17" s="214"/>
      <c r="Z17" s="215"/>
      <c r="AA17" s="214"/>
      <c r="AB17" s="215"/>
    </row>
    <row r="18" spans="2:28" x14ac:dyDescent="0.25">
      <c r="B18" s="203">
        <v>2029</v>
      </c>
      <c r="C18" s="224">
        <f t="shared" si="0"/>
        <v>0</v>
      </c>
      <c r="D18" s="232">
        <f t="shared" si="1"/>
        <v>0</v>
      </c>
      <c r="E18" s="227">
        <f t="shared" si="2"/>
        <v>0</v>
      </c>
      <c r="F18" s="232">
        <f t="shared" si="2"/>
        <v>0</v>
      </c>
      <c r="G18" s="141">
        <f t="shared" si="3"/>
        <v>0</v>
      </c>
      <c r="H18" s="232">
        <f t="shared" si="3"/>
        <v>0</v>
      </c>
      <c r="I18" s="224">
        <f t="shared" si="4"/>
        <v>0</v>
      </c>
      <c r="J18" s="232">
        <f t="shared" si="5"/>
        <v>0</v>
      </c>
      <c r="K18" s="210"/>
      <c r="L18" s="214"/>
      <c r="M18" s="202"/>
      <c r="N18" s="202"/>
      <c r="O18" s="215"/>
      <c r="P18" s="214"/>
      <c r="Q18" s="202"/>
      <c r="R18" s="215"/>
      <c r="S18" s="214"/>
      <c r="T18" s="202"/>
      <c r="U18" s="215"/>
      <c r="V18" s="237"/>
      <c r="W18" s="214"/>
      <c r="X18" s="215"/>
      <c r="Y18" s="214"/>
      <c r="Z18" s="215"/>
      <c r="AA18" s="214"/>
      <c r="AB18" s="215"/>
    </row>
    <row r="19" spans="2:28" ht="15.75" thickBot="1" x14ac:dyDescent="0.3">
      <c r="B19" s="204">
        <v>2030</v>
      </c>
      <c r="C19" s="225">
        <f t="shared" si="0"/>
        <v>0</v>
      </c>
      <c r="D19" s="233">
        <f t="shared" si="1"/>
        <v>0</v>
      </c>
      <c r="E19" s="228">
        <f t="shared" si="2"/>
        <v>0</v>
      </c>
      <c r="F19" s="233">
        <f t="shared" si="2"/>
        <v>0</v>
      </c>
      <c r="G19" s="230">
        <f t="shared" si="3"/>
        <v>0</v>
      </c>
      <c r="H19" s="233">
        <f t="shared" si="3"/>
        <v>0</v>
      </c>
      <c r="I19" s="225">
        <f t="shared" si="4"/>
        <v>0</v>
      </c>
      <c r="J19" s="233">
        <f t="shared" si="5"/>
        <v>0</v>
      </c>
      <c r="K19" s="210"/>
      <c r="L19" s="216"/>
      <c r="M19" s="217"/>
      <c r="N19" s="217"/>
      <c r="O19" s="218"/>
      <c r="P19" s="216"/>
      <c r="Q19" s="217"/>
      <c r="R19" s="218"/>
      <c r="S19" s="216"/>
      <c r="T19" s="217"/>
      <c r="U19" s="218"/>
      <c r="V19" s="238"/>
      <c r="W19" s="216"/>
      <c r="X19" s="218"/>
      <c r="Y19" s="216"/>
      <c r="Z19" s="218"/>
      <c r="AA19" s="216"/>
      <c r="AB19" s="218"/>
    </row>
  </sheetData>
  <mergeCells count="17">
    <mergeCell ref="AA4:AB4"/>
    <mergeCell ref="W3:AB3"/>
    <mergeCell ref="W5:W6"/>
    <mergeCell ref="X5:X6"/>
    <mergeCell ref="Y5:Y6"/>
    <mergeCell ref="Z5:Z6"/>
    <mergeCell ref="AA5:AA6"/>
    <mergeCell ref="AB5:AB6"/>
    <mergeCell ref="B3:B6"/>
    <mergeCell ref="W4:X4"/>
    <mergeCell ref="K4:K5"/>
    <mergeCell ref="C3:J4"/>
    <mergeCell ref="Y4:Z4"/>
    <mergeCell ref="L4:O4"/>
    <mergeCell ref="S4:U4"/>
    <mergeCell ref="L3:U3"/>
    <mergeCell ref="P4:R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203A1-21E1-4E44-8932-748C18E2587B}">
  <sheetPr codeName="Feuil9">
    <tabColor theme="9"/>
  </sheetPr>
  <dimension ref="A5:N111"/>
  <sheetViews>
    <sheetView topLeftCell="C16" workbookViewId="0">
      <selection activeCell="N15" sqref="N15"/>
    </sheetView>
  </sheetViews>
  <sheetFormatPr baseColWidth="10" defaultRowHeight="15" x14ac:dyDescent="0.25"/>
  <cols>
    <col min="4" max="4" width="6.7109375" customWidth="1"/>
    <col min="5" max="5" width="7.5703125" customWidth="1"/>
    <col min="6" max="6" width="44.140625" bestFit="1" customWidth="1"/>
    <col min="7" max="7" width="23" bestFit="1" customWidth="1"/>
    <col min="8" max="8" width="4.140625" customWidth="1"/>
    <col min="9" max="9" width="13.140625" customWidth="1"/>
    <col min="10" max="10" width="12.28515625" bestFit="1" customWidth="1"/>
    <col min="11" max="11" width="2.5703125" customWidth="1"/>
    <col min="12" max="12" width="33.42578125" bestFit="1" customWidth="1"/>
    <col min="13" max="13" width="83" bestFit="1" customWidth="1"/>
    <col min="14" max="14" width="12.28515625" bestFit="1" customWidth="1"/>
  </cols>
  <sheetData>
    <row r="5" spans="1:14" ht="15.75" thickBot="1" x14ac:dyDescent="0.3">
      <c r="A5" t="s">
        <v>160</v>
      </c>
      <c r="B5" t="s">
        <v>229</v>
      </c>
    </row>
    <row r="6" spans="1:14" ht="16.5" thickBot="1" x14ac:dyDescent="0.3">
      <c r="F6" s="478" t="s">
        <v>356</v>
      </c>
      <c r="G6" s="479"/>
      <c r="I6" s="70" t="s">
        <v>357</v>
      </c>
      <c r="L6" t="s">
        <v>452</v>
      </c>
    </row>
    <row r="7" spans="1:14" ht="15.75" thickBot="1" x14ac:dyDescent="0.3"/>
    <row r="8" spans="1:14" ht="15.75" thickBot="1" x14ac:dyDescent="0.3">
      <c r="F8" s="69" t="s">
        <v>156</v>
      </c>
      <c r="G8" s="68" t="s">
        <v>160</v>
      </c>
      <c r="I8" s="68" t="s">
        <v>160</v>
      </c>
      <c r="J8" s="69" t="s">
        <v>156</v>
      </c>
    </row>
    <row r="9" spans="1:14" ht="19.5" thickBot="1" x14ac:dyDescent="0.3">
      <c r="F9" t="s">
        <v>238</v>
      </c>
      <c r="G9" t="s">
        <v>239</v>
      </c>
      <c r="L9" s="71" t="s">
        <v>156</v>
      </c>
      <c r="M9" s="72" t="s">
        <v>158</v>
      </c>
      <c r="N9" s="73" t="s">
        <v>160</v>
      </c>
    </row>
    <row r="10" spans="1:14" x14ac:dyDescent="0.25">
      <c r="F10" t="s">
        <v>240</v>
      </c>
      <c r="G10" t="s">
        <v>242</v>
      </c>
      <c r="L10" s="74" t="s">
        <v>447</v>
      </c>
      <c r="M10" s="75" t="s">
        <v>448</v>
      </c>
      <c r="N10" s="77" t="s">
        <v>24</v>
      </c>
    </row>
    <row r="11" spans="1:14" x14ac:dyDescent="0.25">
      <c r="F11" t="s">
        <v>243</v>
      </c>
      <c r="G11" t="s">
        <v>244</v>
      </c>
      <c r="L11" s="74" t="s">
        <v>369</v>
      </c>
      <c r="M11" s="75" t="s">
        <v>370</v>
      </c>
      <c r="N11" s="76" t="s">
        <v>24</v>
      </c>
    </row>
    <row r="12" spans="1:14" x14ac:dyDescent="0.25">
      <c r="F12" t="s">
        <v>245</v>
      </c>
      <c r="G12" t="s">
        <v>246</v>
      </c>
      <c r="L12" s="74" t="s">
        <v>262</v>
      </c>
      <c r="M12" s="75" t="s">
        <v>446</v>
      </c>
      <c r="N12" s="77" t="s">
        <v>24</v>
      </c>
    </row>
    <row r="13" spans="1:14" x14ac:dyDescent="0.25">
      <c r="F13" t="s">
        <v>247</v>
      </c>
      <c r="G13" t="s">
        <v>246</v>
      </c>
      <c r="L13" s="74" t="s">
        <v>375</v>
      </c>
      <c r="M13" s="75" t="s">
        <v>368</v>
      </c>
      <c r="N13" s="76" t="s">
        <v>24</v>
      </c>
    </row>
    <row r="14" spans="1:14" x14ac:dyDescent="0.25">
      <c r="F14" t="s">
        <v>248</v>
      </c>
      <c r="G14" t="s">
        <v>249</v>
      </c>
      <c r="L14" s="74" t="s">
        <v>450</v>
      </c>
      <c r="M14" s="75" t="s">
        <v>451</v>
      </c>
      <c r="N14" s="81" t="s">
        <v>24</v>
      </c>
    </row>
    <row r="15" spans="1:14" x14ac:dyDescent="0.25">
      <c r="F15" t="s">
        <v>250</v>
      </c>
      <c r="G15" t="s">
        <v>251</v>
      </c>
      <c r="L15" s="74" t="s">
        <v>373</v>
      </c>
      <c r="M15" s="75" t="s">
        <v>374</v>
      </c>
      <c r="N15" s="76" t="s">
        <v>24</v>
      </c>
    </row>
    <row r="16" spans="1:14" x14ac:dyDescent="0.25">
      <c r="F16" t="s">
        <v>252</v>
      </c>
      <c r="G16" t="s">
        <v>249</v>
      </c>
      <c r="L16" s="74" t="s">
        <v>371</v>
      </c>
      <c r="M16" s="75" t="s">
        <v>372</v>
      </c>
      <c r="N16" s="76" t="s">
        <v>24</v>
      </c>
    </row>
    <row r="17" spans="6:14" x14ac:dyDescent="0.25">
      <c r="F17" t="s">
        <v>253</v>
      </c>
      <c r="G17" t="s">
        <v>251</v>
      </c>
      <c r="L17" s="74" t="s">
        <v>381</v>
      </c>
      <c r="M17" s="75" t="s">
        <v>368</v>
      </c>
      <c r="N17" s="76" t="s">
        <v>24</v>
      </c>
    </row>
    <row r="18" spans="6:14" x14ac:dyDescent="0.25">
      <c r="F18" t="s">
        <v>254</v>
      </c>
      <c r="G18" t="s">
        <v>251</v>
      </c>
      <c r="L18" s="74" t="s">
        <v>411</v>
      </c>
      <c r="M18" s="75" t="s">
        <v>412</v>
      </c>
      <c r="N18" s="76" t="s">
        <v>24</v>
      </c>
    </row>
    <row r="19" spans="6:14" x14ac:dyDescent="0.25">
      <c r="F19" t="s">
        <v>255</v>
      </c>
      <c r="G19" t="s">
        <v>251</v>
      </c>
      <c r="L19" s="74" t="s">
        <v>367</v>
      </c>
      <c r="M19" s="75" t="s">
        <v>368</v>
      </c>
      <c r="N19" s="76" t="s">
        <v>24</v>
      </c>
    </row>
    <row r="20" spans="6:14" x14ac:dyDescent="0.25">
      <c r="F20" t="s">
        <v>256</v>
      </c>
      <c r="G20" t="s">
        <v>257</v>
      </c>
      <c r="L20" s="74" t="s">
        <v>428</v>
      </c>
      <c r="M20" s="75" t="s">
        <v>241</v>
      </c>
      <c r="N20" s="77" t="s">
        <v>24</v>
      </c>
    </row>
    <row r="21" spans="6:14" x14ac:dyDescent="0.25">
      <c r="F21" t="s">
        <v>258</v>
      </c>
      <c r="G21" t="s">
        <v>257</v>
      </c>
      <c r="L21" s="74" t="s">
        <v>428</v>
      </c>
      <c r="M21" s="75" t="s">
        <v>429</v>
      </c>
      <c r="N21" s="77" t="s">
        <v>24</v>
      </c>
    </row>
    <row r="22" spans="6:14" x14ac:dyDescent="0.25">
      <c r="F22" t="s">
        <v>259</v>
      </c>
      <c r="G22" t="s">
        <v>251</v>
      </c>
      <c r="L22" s="74" t="s">
        <v>11</v>
      </c>
      <c r="M22" s="75" t="s">
        <v>241</v>
      </c>
      <c r="N22" s="77" t="s">
        <v>27</v>
      </c>
    </row>
    <row r="23" spans="6:14" x14ac:dyDescent="0.25">
      <c r="F23" t="s">
        <v>260</v>
      </c>
      <c r="G23" t="s">
        <v>239</v>
      </c>
      <c r="L23" s="74" t="s">
        <v>12</v>
      </c>
      <c r="M23" s="75" t="s">
        <v>13</v>
      </c>
      <c r="N23" s="76" t="s">
        <v>27</v>
      </c>
    </row>
    <row r="24" spans="6:14" x14ac:dyDescent="0.25">
      <c r="F24" t="s">
        <v>10</v>
      </c>
      <c r="G24" t="s">
        <v>261</v>
      </c>
      <c r="L24" s="74" t="s">
        <v>380</v>
      </c>
      <c r="M24" s="75" t="s">
        <v>359</v>
      </c>
      <c r="N24" s="76" t="s">
        <v>27</v>
      </c>
    </row>
    <row r="25" spans="6:14" x14ac:dyDescent="0.25">
      <c r="F25" t="s">
        <v>262</v>
      </c>
      <c r="G25" t="s">
        <v>263</v>
      </c>
      <c r="L25" s="74" t="s">
        <v>358</v>
      </c>
      <c r="M25" s="75" t="s">
        <v>359</v>
      </c>
      <c r="N25" s="76" t="s">
        <v>27</v>
      </c>
    </row>
    <row r="26" spans="6:14" x14ac:dyDescent="0.25">
      <c r="F26" t="s">
        <v>264</v>
      </c>
      <c r="G26" t="s">
        <v>239</v>
      </c>
      <c r="L26" s="74" t="s">
        <v>414</v>
      </c>
      <c r="M26" s="75" t="s">
        <v>415</v>
      </c>
      <c r="N26" s="76" t="s">
        <v>27</v>
      </c>
    </row>
    <row r="27" spans="6:14" x14ac:dyDescent="0.25">
      <c r="F27" t="s">
        <v>265</v>
      </c>
      <c r="G27" t="s">
        <v>263</v>
      </c>
      <c r="L27" s="74" t="s">
        <v>14</v>
      </c>
      <c r="M27" s="75" t="s">
        <v>15</v>
      </c>
      <c r="N27" s="76" t="s">
        <v>27</v>
      </c>
    </row>
    <row r="28" spans="6:14" x14ac:dyDescent="0.25">
      <c r="F28" t="s">
        <v>266</v>
      </c>
      <c r="G28" t="s">
        <v>244</v>
      </c>
      <c r="L28" s="74" t="s">
        <v>413</v>
      </c>
      <c r="M28" s="75" t="s">
        <v>359</v>
      </c>
      <c r="N28" s="76" t="s">
        <v>27</v>
      </c>
    </row>
    <row r="29" spans="6:14" x14ac:dyDescent="0.25">
      <c r="F29" t="s">
        <v>267</v>
      </c>
      <c r="G29" t="s">
        <v>251</v>
      </c>
      <c r="L29" s="74" t="s">
        <v>441</v>
      </c>
      <c r="M29" s="75" t="s">
        <v>442</v>
      </c>
      <c r="N29" s="76" t="s">
        <v>27</v>
      </c>
    </row>
    <row r="30" spans="6:14" x14ac:dyDescent="0.25">
      <c r="F30" t="s">
        <v>268</v>
      </c>
      <c r="G30" t="s">
        <v>251</v>
      </c>
      <c r="L30" s="74" t="s">
        <v>420</v>
      </c>
      <c r="M30" s="75" t="s">
        <v>359</v>
      </c>
      <c r="N30" s="76" t="s">
        <v>27</v>
      </c>
    </row>
    <row r="31" spans="6:14" x14ac:dyDescent="0.25">
      <c r="F31" t="s">
        <v>269</v>
      </c>
      <c r="G31" t="s">
        <v>257</v>
      </c>
      <c r="L31" s="74" t="s">
        <v>381</v>
      </c>
      <c r="M31" s="75" t="s">
        <v>359</v>
      </c>
      <c r="N31" s="76" t="s">
        <v>27</v>
      </c>
    </row>
    <row r="32" spans="6:14" x14ac:dyDescent="0.25">
      <c r="F32" t="s">
        <v>270</v>
      </c>
      <c r="G32" t="s">
        <v>257</v>
      </c>
      <c r="L32" s="74" t="s">
        <v>382</v>
      </c>
      <c r="M32" s="75" t="s">
        <v>383</v>
      </c>
      <c r="N32" s="76" t="s">
        <v>27</v>
      </c>
    </row>
    <row r="33" spans="6:14" x14ac:dyDescent="0.25">
      <c r="F33" t="s">
        <v>271</v>
      </c>
      <c r="G33" t="s">
        <v>257</v>
      </c>
      <c r="L33" s="74" t="s">
        <v>416</v>
      </c>
      <c r="M33" s="75" t="s">
        <v>359</v>
      </c>
      <c r="N33" s="80" t="s">
        <v>27</v>
      </c>
    </row>
    <row r="34" spans="6:14" x14ac:dyDescent="0.25">
      <c r="F34" t="s">
        <v>272</v>
      </c>
      <c r="G34" t="s">
        <v>257</v>
      </c>
      <c r="L34" s="74" t="s">
        <v>449</v>
      </c>
      <c r="M34" s="75" t="s">
        <v>359</v>
      </c>
      <c r="N34" s="77" t="s">
        <v>27</v>
      </c>
    </row>
    <row r="35" spans="6:14" x14ac:dyDescent="0.25">
      <c r="F35" t="s">
        <v>273</v>
      </c>
      <c r="G35" t="s">
        <v>257</v>
      </c>
      <c r="L35" s="74" t="s">
        <v>417</v>
      </c>
      <c r="M35" s="75" t="s">
        <v>418</v>
      </c>
      <c r="N35" s="76" t="s">
        <v>27</v>
      </c>
    </row>
    <row r="36" spans="6:14" x14ac:dyDescent="0.25">
      <c r="F36" t="s">
        <v>274</v>
      </c>
      <c r="G36" t="s">
        <v>251</v>
      </c>
      <c r="L36" s="74" t="s">
        <v>430</v>
      </c>
      <c r="M36" s="75" t="s">
        <v>431</v>
      </c>
      <c r="N36" s="76" t="s">
        <v>30</v>
      </c>
    </row>
    <row r="37" spans="6:14" x14ac:dyDescent="0.25">
      <c r="F37" t="s">
        <v>275</v>
      </c>
      <c r="G37" t="s">
        <v>251</v>
      </c>
      <c r="L37" s="74" t="s">
        <v>11</v>
      </c>
      <c r="M37" s="75" t="s">
        <v>241</v>
      </c>
      <c r="N37" s="76" t="s">
        <v>30</v>
      </c>
    </row>
    <row r="38" spans="6:14" x14ac:dyDescent="0.25">
      <c r="F38" t="s">
        <v>276</v>
      </c>
      <c r="G38" t="s">
        <v>249</v>
      </c>
      <c r="L38" s="74" t="s">
        <v>391</v>
      </c>
      <c r="M38" s="75" t="s">
        <v>392</v>
      </c>
      <c r="N38" s="76" t="s">
        <v>30</v>
      </c>
    </row>
    <row r="39" spans="6:14" x14ac:dyDescent="0.25">
      <c r="F39" t="s">
        <v>277</v>
      </c>
      <c r="G39" t="s">
        <v>251</v>
      </c>
      <c r="L39" s="74" t="s">
        <v>403</v>
      </c>
      <c r="M39" s="75" t="s">
        <v>404</v>
      </c>
      <c r="N39" s="76" t="s">
        <v>30</v>
      </c>
    </row>
    <row r="40" spans="6:14" x14ac:dyDescent="0.25">
      <c r="F40" t="s">
        <v>278</v>
      </c>
      <c r="G40" t="s">
        <v>249</v>
      </c>
      <c r="L40" s="74" t="s">
        <v>399</v>
      </c>
      <c r="M40" s="75" t="s">
        <v>241</v>
      </c>
      <c r="N40" s="77" t="s">
        <v>30</v>
      </c>
    </row>
    <row r="41" spans="6:14" x14ac:dyDescent="0.25">
      <c r="F41" t="s">
        <v>279</v>
      </c>
      <c r="G41" t="s">
        <v>257</v>
      </c>
      <c r="L41" s="74" t="s">
        <v>389</v>
      </c>
      <c r="M41" s="75" t="s">
        <v>390</v>
      </c>
      <c r="N41" s="76" t="s">
        <v>30</v>
      </c>
    </row>
    <row r="42" spans="6:14" x14ac:dyDescent="0.25">
      <c r="F42" t="s">
        <v>280</v>
      </c>
      <c r="G42" t="s">
        <v>257</v>
      </c>
      <c r="L42" s="74" t="s">
        <v>395</v>
      </c>
      <c r="M42" s="75" t="s">
        <v>396</v>
      </c>
      <c r="N42" s="76" t="s">
        <v>30</v>
      </c>
    </row>
    <row r="43" spans="6:14" x14ac:dyDescent="0.25">
      <c r="F43" t="s">
        <v>281</v>
      </c>
      <c r="G43" t="s">
        <v>239</v>
      </c>
      <c r="L43" s="74" t="s">
        <v>401</v>
      </c>
      <c r="M43" s="75" t="s">
        <v>402</v>
      </c>
      <c r="N43" s="76" t="s">
        <v>30</v>
      </c>
    </row>
    <row r="44" spans="6:14" x14ac:dyDescent="0.25">
      <c r="F44" t="s">
        <v>282</v>
      </c>
      <c r="G44" t="s">
        <v>239</v>
      </c>
      <c r="L44" s="74" t="s">
        <v>384</v>
      </c>
      <c r="M44" s="75" t="s">
        <v>385</v>
      </c>
      <c r="N44" s="77" t="s">
        <v>30</v>
      </c>
    </row>
    <row r="45" spans="6:14" x14ac:dyDescent="0.25">
      <c r="F45" t="s">
        <v>283</v>
      </c>
      <c r="G45" t="s">
        <v>284</v>
      </c>
      <c r="L45" s="74" t="s">
        <v>409</v>
      </c>
      <c r="M45" s="75" t="s">
        <v>410</v>
      </c>
      <c r="N45" s="76" t="s">
        <v>30</v>
      </c>
    </row>
    <row r="46" spans="6:14" x14ac:dyDescent="0.25">
      <c r="F46" t="s">
        <v>285</v>
      </c>
      <c r="G46" t="s">
        <v>263</v>
      </c>
      <c r="L46" s="74" t="s">
        <v>436</v>
      </c>
      <c r="M46" s="75" t="s">
        <v>437</v>
      </c>
      <c r="N46" s="76" t="s">
        <v>30</v>
      </c>
    </row>
    <row r="47" spans="6:14" x14ac:dyDescent="0.25">
      <c r="F47" t="s">
        <v>286</v>
      </c>
      <c r="G47" t="s">
        <v>239</v>
      </c>
      <c r="L47" s="74" t="s">
        <v>393</v>
      </c>
      <c r="M47" s="75" t="s">
        <v>394</v>
      </c>
      <c r="N47" s="76" t="s">
        <v>30</v>
      </c>
    </row>
    <row r="48" spans="6:14" x14ac:dyDescent="0.25">
      <c r="F48" t="s">
        <v>287</v>
      </c>
      <c r="G48" t="s">
        <v>242</v>
      </c>
      <c r="L48" s="74" t="s">
        <v>405</v>
      </c>
      <c r="M48" s="75" t="s">
        <v>406</v>
      </c>
      <c r="N48" s="76" t="s">
        <v>30</v>
      </c>
    </row>
    <row r="49" spans="6:14" x14ac:dyDescent="0.25">
      <c r="F49" t="s">
        <v>288</v>
      </c>
      <c r="G49" t="s">
        <v>249</v>
      </c>
      <c r="L49" s="74" t="s">
        <v>397</v>
      </c>
      <c r="M49" s="75" t="s">
        <v>398</v>
      </c>
      <c r="N49" s="76" t="s">
        <v>30</v>
      </c>
    </row>
    <row r="50" spans="6:14" x14ac:dyDescent="0.25">
      <c r="F50" t="s">
        <v>289</v>
      </c>
      <c r="G50" t="s">
        <v>251</v>
      </c>
      <c r="L50" s="74" t="s">
        <v>438</v>
      </c>
      <c r="M50" s="75" t="s">
        <v>439</v>
      </c>
      <c r="N50" s="76" t="s">
        <v>30</v>
      </c>
    </row>
    <row r="51" spans="6:14" x14ac:dyDescent="0.25">
      <c r="F51" t="s">
        <v>290</v>
      </c>
      <c r="G51" t="s">
        <v>251</v>
      </c>
      <c r="L51" s="74" t="s">
        <v>421</v>
      </c>
      <c r="M51" s="75" t="s">
        <v>422</v>
      </c>
      <c r="N51" s="76" t="s">
        <v>30</v>
      </c>
    </row>
    <row r="52" spans="6:14" x14ac:dyDescent="0.25">
      <c r="F52" t="s">
        <v>291</v>
      </c>
      <c r="G52" t="s">
        <v>249</v>
      </c>
      <c r="L52" s="74" t="s">
        <v>8</v>
      </c>
      <c r="M52" s="75" t="s">
        <v>9</v>
      </c>
      <c r="N52" s="76" t="s">
        <v>30</v>
      </c>
    </row>
    <row r="53" spans="6:14" x14ac:dyDescent="0.25">
      <c r="F53" t="s">
        <v>292</v>
      </c>
      <c r="G53" t="s">
        <v>249</v>
      </c>
      <c r="L53" s="74" t="s">
        <v>386</v>
      </c>
      <c r="M53" s="75" t="s">
        <v>387</v>
      </c>
      <c r="N53" s="76" t="s">
        <v>32</v>
      </c>
    </row>
    <row r="54" spans="6:14" x14ac:dyDescent="0.25">
      <c r="F54" t="s">
        <v>293</v>
      </c>
      <c r="G54" t="s">
        <v>251</v>
      </c>
      <c r="L54" s="74" t="s">
        <v>407</v>
      </c>
      <c r="M54" s="75" t="s">
        <v>408</v>
      </c>
      <c r="N54" s="77" t="s">
        <v>32</v>
      </c>
    </row>
    <row r="55" spans="6:14" x14ac:dyDescent="0.25">
      <c r="F55" t="s">
        <v>294</v>
      </c>
      <c r="G55" t="s">
        <v>249</v>
      </c>
      <c r="L55" s="74" t="s">
        <v>407</v>
      </c>
      <c r="M55" s="75" t="s">
        <v>443</v>
      </c>
      <c r="N55" s="76" t="s">
        <v>32</v>
      </c>
    </row>
    <row r="56" spans="6:14" x14ac:dyDescent="0.25">
      <c r="F56" t="s">
        <v>295</v>
      </c>
      <c r="G56" t="s">
        <v>257</v>
      </c>
      <c r="L56" s="74" t="s">
        <v>444</v>
      </c>
      <c r="M56" s="75" t="s">
        <v>445</v>
      </c>
      <c r="N56" s="76" t="s">
        <v>32</v>
      </c>
    </row>
    <row r="57" spans="6:14" x14ac:dyDescent="0.25">
      <c r="F57" t="s">
        <v>296</v>
      </c>
      <c r="G57" t="s">
        <v>246</v>
      </c>
      <c r="L57" s="74" t="s">
        <v>426</v>
      </c>
      <c r="M57" s="75" t="s">
        <v>427</v>
      </c>
      <c r="N57" s="76" t="s">
        <v>32</v>
      </c>
    </row>
    <row r="58" spans="6:14" x14ac:dyDescent="0.25">
      <c r="F58" t="s">
        <v>297</v>
      </c>
      <c r="G58" t="s">
        <v>249</v>
      </c>
      <c r="L58" s="74" t="s">
        <v>424</v>
      </c>
      <c r="M58" s="75" t="s">
        <v>425</v>
      </c>
      <c r="N58" s="77" t="s">
        <v>32</v>
      </c>
    </row>
    <row r="59" spans="6:14" x14ac:dyDescent="0.25">
      <c r="F59" t="s">
        <v>298</v>
      </c>
      <c r="G59" t="s">
        <v>249</v>
      </c>
      <c r="L59" s="74" t="s">
        <v>365</v>
      </c>
      <c r="M59" s="75" t="s">
        <v>366</v>
      </c>
      <c r="N59" s="76" t="s">
        <v>32</v>
      </c>
    </row>
    <row r="60" spans="6:14" x14ac:dyDescent="0.25">
      <c r="F60" t="s">
        <v>299</v>
      </c>
      <c r="G60" t="s">
        <v>249</v>
      </c>
      <c r="L60" s="78" t="s">
        <v>376</v>
      </c>
      <c r="M60" s="79" t="s">
        <v>377</v>
      </c>
      <c r="N60" s="77" t="s">
        <v>32</v>
      </c>
    </row>
    <row r="61" spans="6:14" x14ac:dyDescent="0.25">
      <c r="F61" t="s">
        <v>300</v>
      </c>
      <c r="G61" t="s">
        <v>251</v>
      </c>
      <c r="L61" s="74" t="s">
        <v>376</v>
      </c>
      <c r="M61" s="75" t="s">
        <v>378</v>
      </c>
      <c r="N61" s="77" t="s">
        <v>32</v>
      </c>
    </row>
    <row r="62" spans="6:14" x14ac:dyDescent="0.25">
      <c r="F62" t="s">
        <v>301</v>
      </c>
      <c r="G62" t="s">
        <v>251</v>
      </c>
      <c r="L62" s="74" t="s">
        <v>376</v>
      </c>
      <c r="M62" s="75" t="s">
        <v>379</v>
      </c>
      <c r="N62" s="77" t="s">
        <v>32</v>
      </c>
    </row>
    <row r="63" spans="6:14" x14ac:dyDescent="0.25">
      <c r="F63" t="s">
        <v>302</v>
      </c>
      <c r="G63" t="s">
        <v>239</v>
      </c>
      <c r="L63" s="74" t="s">
        <v>376</v>
      </c>
      <c r="M63" s="75" t="s">
        <v>388</v>
      </c>
      <c r="N63" s="76" t="s">
        <v>32</v>
      </c>
    </row>
    <row r="64" spans="6:14" x14ac:dyDescent="0.25">
      <c r="F64" t="s">
        <v>7</v>
      </c>
      <c r="G64" t="s">
        <v>304</v>
      </c>
      <c r="L64" s="74" t="s">
        <v>376</v>
      </c>
      <c r="M64" s="75" t="s">
        <v>423</v>
      </c>
      <c r="N64" s="76" t="s">
        <v>32</v>
      </c>
    </row>
    <row r="65" spans="6:14" x14ac:dyDescent="0.25">
      <c r="F65" t="s">
        <v>305</v>
      </c>
      <c r="G65" t="s">
        <v>304</v>
      </c>
      <c r="L65" s="74" t="s">
        <v>363</v>
      </c>
      <c r="M65" s="75" t="s">
        <v>364</v>
      </c>
      <c r="N65" s="76" t="s">
        <v>362</v>
      </c>
    </row>
    <row r="66" spans="6:14" x14ac:dyDescent="0.25">
      <c r="F66" t="s">
        <v>306</v>
      </c>
      <c r="G66" t="s">
        <v>239</v>
      </c>
      <c r="L66" s="74" t="s">
        <v>363</v>
      </c>
      <c r="M66" s="75" t="s">
        <v>400</v>
      </c>
      <c r="N66" s="77" t="s">
        <v>362</v>
      </c>
    </row>
    <row r="67" spans="6:14" x14ac:dyDescent="0.25">
      <c r="F67" t="s">
        <v>307</v>
      </c>
      <c r="G67" t="s">
        <v>263</v>
      </c>
      <c r="L67" s="74" t="s">
        <v>363</v>
      </c>
      <c r="M67" s="75" t="s">
        <v>419</v>
      </c>
      <c r="N67" s="77" t="s">
        <v>362</v>
      </c>
    </row>
    <row r="68" spans="6:14" x14ac:dyDescent="0.25">
      <c r="F68" t="s">
        <v>308</v>
      </c>
      <c r="G68" t="s">
        <v>249</v>
      </c>
      <c r="L68" s="74" t="s">
        <v>360</v>
      </c>
      <c r="M68" s="75" t="s">
        <v>361</v>
      </c>
      <c r="N68" s="76" t="s">
        <v>362</v>
      </c>
    </row>
    <row r="69" spans="6:14" x14ac:dyDescent="0.25">
      <c r="F69" t="s">
        <v>309</v>
      </c>
      <c r="G69" t="s">
        <v>263</v>
      </c>
      <c r="L69" s="74" t="s">
        <v>360</v>
      </c>
      <c r="M69" s="75" t="s">
        <v>440</v>
      </c>
      <c r="N69" s="76" t="s">
        <v>362</v>
      </c>
    </row>
    <row r="70" spans="6:14" x14ac:dyDescent="0.25">
      <c r="F70" t="s">
        <v>310</v>
      </c>
      <c r="G70" t="s">
        <v>303</v>
      </c>
      <c r="L70" s="74" t="s">
        <v>432</v>
      </c>
      <c r="M70" s="75" t="s">
        <v>433</v>
      </c>
      <c r="N70" s="76" t="s">
        <v>362</v>
      </c>
    </row>
    <row r="71" spans="6:14" ht="15.75" thickBot="1" x14ac:dyDescent="0.3">
      <c r="F71" t="s">
        <v>311</v>
      </c>
      <c r="G71" t="s">
        <v>251</v>
      </c>
      <c r="L71" s="74" t="s">
        <v>434</v>
      </c>
      <c r="M71" s="75" t="s">
        <v>435</v>
      </c>
      <c r="N71" s="82" t="s">
        <v>362</v>
      </c>
    </row>
    <row r="72" spans="6:14" x14ac:dyDescent="0.25">
      <c r="F72" t="s">
        <v>312</v>
      </c>
      <c r="G72" t="s">
        <v>249</v>
      </c>
    </row>
    <row r="73" spans="6:14" x14ac:dyDescent="0.25">
      <c r="F73" t="s">
        <v>313</v>
      </c>
      <c r="G73" t="s">
        <v>239</v>
      </c>
    </row>
    <row r="74" spans="6:14" x14ac:dyDescent="0.25">
      <c r="F74" t="s">
        <v>314</v>
      </c>
      <c r="G74" t="s">
        <v>244</v>
      </c>
    </row>
    <row r="75" spans="6:14" x14ac:dyDescent="0.25">
      <c r="F75" t="s">
        <v>315</v>
      </c>
      <c r="G75" t="s">
        <v>249</v>
      </c>
    </row>
    <row r="76" spans="6:14" x14ac:dyDescent="0.25">
      <c r="F76" t="s">
        <v>316</v>
      </c>
      <c r="G76" t="s">
        <v>251</v>
      </c>
    </row>
    <row r="77" spans="6:14" x14ac:dyDescent="0.25">
      <c r="F77" t="s">
        <v>317</v>
      </c>
      <c r="G77" t="s">
        <v>249</v>
      </c>
    </row>
    <row r="78" spans="6:14" x14ac:dyDescent="0.25">
      <c r="F78" t="s">
        <v>318</v>
      </c>
      <c r="G78" t="s">
        <v>251</v>
      </c>
    </row>
    <row r="79" spans="6:14" x14ac:dyDescent="0.25">
      <c r="F79" t="s">
        <v>319</v>
      </c>
      <c r="G79" t="s">
        <v>284</v>
      </c>
    </row>
    <row r="80" spans="6:14" x14ac:dyDescent="0.25">
      <c r="F80" t="s">
        <v>320</v>
      </c>
      <c r="G80" t="s">
        <v>242</v>
      </c>
    </row>
    <row r="81" spans="6:7" x14ac:dyDescent="0.25">
      <c r="F81" t="s">
        <v>321</v>
      </c>
      <c r="G81" t="s">
        <v>249</v>
      </c>
    </row>
    <row r="82" spans="6:7" x14ac:dyDescent="0.25">
      <c r="F82" t="s">
        <v>322</v>
      </c>
      <c r="G82" t="s">
        <v>251</v>
      </c>
    </row>
    <row r="83" spans="6:7" x14ac:dyDescent="0.25">
      <c r="F83" t="s">
        <v>323</v>
      </c>
      <c r="G83" t="s">
        <v>251</v>
      </c>
    </row>
    <row r="84" spans="6:7" x14ac:dyDescent="0.25">
      <c r="F84" t="s">
        <v>324</v>
      </c>
      <c r="G84" t="s">
        <v>303</v>
      </c>
    </row>
    <row r="85" spans="6:7" x14ac:dyDescent="0.25">
      <c r="F85" t="s">
        <v>325</v>
      </c>
      <c r="G85" t="s">
        <v>257</v>
      </c>
    </row>
    <row r="86" spans="6:7" x14ac:dyDescent="0.25">
      <c r="F86" t="s">
        <v>326</v>
      </c>
      <c r="G86" t="s">
        <v>327</v>
      </c>
    </row>
    <row r="87" spans="6:7" x14ac:dyDescent="0.25">
      <c r="F87" t="s">
        <v>328</v>
      </c>
      <c r="G87" t="s">
        <v>263</v>
      </c>
    </row>
    <row r="88" spans="6:7" x14ac:dyDescent="0.25">
      <c r="F88" t="s">
        <v>329</v>
      </c>
      <c r="G88" t="s">
        <v>257</v>
      </c>
    </row>
    <row r="89" spans="6:7" x14ac:dyDescent="0.25">
      <c r="F89" t="s">
        <v>330</v>
      </c>
      <c r="G89" t="s">
        <v>242</v>
      </c>
    </row>
    <row r="90" spans="6:7" x14ac:dyDescent="0.25">
      <c r="F90" t="s">
        <v>331</v>
      </c>
      <c r="G90" t="s">
        <v>284</v>
      </c>
    </row>
    <row r="91" spans="6:7" x14ac:dyDescent="0.25">
      <c r="F91" t="s">
        <v>332</v>
      </c>
      <c r="G91" t="s">
        <v>242</v>
      </c>
    </row>
    <row r="92" spans="6:7" x14ac:dyDescent="0.25">
      <c r="F92" t="s">
        <v>333</v>
      </c>
      <c r="G92" t="s">
        <v>304</v>
      </c>
    </row>
    <row r="93" spans="6:7" x14ac:dyDescent="0.25">
      <c r="F93" t="s">
        <v>334</v>
      </c>
      <c r="G93" t="s">
        <v>239</v>
      </c>
    </row>
    <row r="94" spans="6:7" x14ac:dyDescent="0.25">
      <c r="F94" t="s">
        <v>335</v>
      </c>
      <c r="G94" t="s">
        <v>239</v>
      </c>
    </row>
    <row r="95" spans="6:7" x14ac:dyDescent="0.25">
      <c r="F95" t="s">
        <v>336</v>
      </c>
      <c r="G95" t="s">
        <v>337</v>
      </c>
    </row>
    <row r="96" spans="6:7" x14ac:dyDescent="0.25">
      <c r="F96" t="s">
        <v>338</v>
      </c>
      <c r="G96" t="s">
        <v>249</v>
      </c>
    </row>
    <row r="97" spans="6:7" x14ac:dyDescent="0.25">
      <c r="F97" t="s">
        <v>339</v>
      </c>
      <c r="G97" t="s">
        <v>251</v>
      </c>
    </row>
    <row r="98" spans="6:7" x14ac:dyDescent="0.25">
      <c r="F98" t="s">
        <v>340</v>
      </c>
      <c r="G98" t="s">
        <v>249</v>
      </c>
    </row>
    <row r="99" spans="6:7" x14ac:dyDescent="0.25">
      <c r="F99" t="s">
        <v>341</v>
      </c>
      <c r="G99" t="s">
        <v>239</v>
      </c>
    </row>
    <row r="100" spans="6:7" x14ac:dyDescent="0.25">
      <c r="F100" t="s">
        <v>342</v>
      </c>
      <c r="G100" t="s">
        <v>337</v>
      </c>
    </row>
    <row r="101" spans="6:7" x14ac:dyDescent="0.25">
      <c r="F101" t="s">
        <v>343</v>
      </c>
      <c r="G101" t="s">
        <v>251</v>
      </c>
    </row>
    <row r="102" spans="6:7" x14ac:dyDescent="0.25">
      <c r="F102" t="s">
        <v>344</v>
      </c>
      <c r="G102" t="s">
        <v>284</v>
      </c>
    </row>
    <row r="103" spans="6:7" x14ac:dyDescent="0.25">
      <c r="F103" t="s">
        <v>345</v>
      </c>
      <c r="G103" t="s">
        <v>239</v>
      </c>
    </row>
    <row r="104" spans="6:7" x14ac:dyDescent="0.25">
      <c r="F104" t="s">
        <v>346</v>
      </c>
      <c r="G104" t="s">
        <v>304</v>
      </c>
    </row>
    <row r="105" spans="6:7" x14ac:dyDescent="0.25">
      <c r="F105" t="s">
        <v>347</v>
      </c>
      <c r="G105" t="s">
        <v>337</v>
      </c>
    </row>
    <row r="106" spans="6:7" x14ac:dyDescent="0.25">
      <c r="F106" t="s">
        <v>348</v>
      </c>
      <c r="G106" t="s">
        <v>263</v>
      </c>
    </row>
    <row r="107" spans="6:7" x14ac:dyDescent="0.25">
      <c r="F107" t="s">
        <v>349</v>
      </c>
      <c r="G107" t="s">
        <v>350</v>
      </c>
    </row>
    <row r="108" spans="6:7" x14ac:dyDescent="0.25">
      <c r="F108" t="s">
        <v>351</v>
      </c>
      <c r="G108" t="s">
        <v>352</v>
      </c>
    </row>
    <row r="109" spans="6:7" x14ac:dyDescent="0.25">
      <c r="F109" t="s">
        <v>353</v>
      </c>
      <c r="G109" t="s">
        <v>246</v>
      </c>
    </row>
    <row r="110" spans="6:7" x14ac:dyDescent="0.25">
      <c r="F110" t="s">
        <v>354</v>
      </c>
      <c r="G110" t="s">
        <v>304</v>
      </c>
    </row>
    <row r="111" spans="6:7" x14ac:dyDescent="0.25">
      <c r="F111" t="s">
        <v>355</v>
      </c>
      <c r="G111" t="s">
        <v>350</v>
      </c>
    </row>
  </sheetData>
  <sortState xmlns:xlrd2="http://schemas.microsoft.com/office/spreadsheetml/2017/richdata2" ref="L10:N136">
    <sortCondition ref="L10:L136"/>
  </sortState>
  <mergeCells count="1">
    <mergeCell ref="F6:G6"/>
  </mergeCells>
  <conditionalFormatting sqref="N10:N71">
    <cfRule type="beginsWith" dxfId="1" priority="1" operator="beginsWith" text="R">
      <formula>LEFT(N10,LEN("R"))="R"</formula>
    </cfRule>
    <cfRule type="beginsWith" dxfId="0" priority="2" operator="beginsWith" text="D">
      <formula>LEFT(N10,LEN("D"))="D"</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95BE88-8EAB-41DB-AECB-C0121B2B0B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ETAPES</vt:lpstr>
      <vt:lpstr>pipeline colonnes</vt:lpstr>
      <vt:lpstr>listes de réferences</vt:lpstr>
      <vt:lpstr>categories_depenses</vt:lpstr>
      <vt:lpstr>Catégories Comptable</vt:lpstr>
      <vt:lpstr>Dossiers - acronymes combinés</vt:lpstr>
      <vt:lpstr>Fond de roulement</vt:lpstr>
      <vt:lpstr>Calcul des coûts</vt:lpstr>
      <vt:lpstr>FUTURES 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dc:creator>
  <cp:lastModifiedBy>Sébastien Baudoux</cp:lastModifiedBy>
  <cp:lastPrinted>2025-01-20T11:03:32Z</cp:lastPrinted>
  <dcterms:created xsi:type="dcterms:W3CDTF">2015-06-05T18:19:34Z</dcterms:created>
  <dcterms:modified xsi:type="dcterms:W3CDTF">2025-12-15T12:06:53Z</dcterms:modified>
</cp:coreProperties>
</file>